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/>
  <mc:AlternateContent xmlns:mc="http://schemas.openxmlformats.org/markup-compatibility/2006">
    <mc:Choice Requires="x15">
      <x15ac:absPath xmlns:x15ac="http://schemas.microsoft.com/office/spreadsheetml/2010/11/ac" url="/Users/U777053/Documents/Uni/FraUAS/Masterarbeit/prototype/graphdb-parser/sources/Data/"/>
    </mc:Choice>
  </mc:AlternateContent>
  <xr:revisionPtr revIDLastSave="0" documentId="13_ncr:1_{DD12BE98-40E9-EE44-AA9D-EA24ADC540BC}" xr6:coauthVersionLast="47" xr6:coauthVersionMax="47" xr10:uidLastSave="{00000000-0000-0000-0000-000000000000}"/>
  <bookViews>
    <workbookView xWindow="0" yWindow="880" windowWidth="41120" windowHeight="25700" activeTab="1" xr2:uid="{00000000-000D-0000-FFFF-FFFF00000000}"/>
  </bookViews>
  <sheets>
    <sheet name="ToBe Application List" sheetId="20" r:id="rId1"/>
    <sheet name="Costs and Budget Calculations" sheetId="14" r:id="rId2"/>
    <sheet name="BSM-Final" sheetId="21" r:id="rId3"/>
  </sheets>
  <definedNames>
    <definedName name="_xlchart.v1.0" hidden="1">'Costs and Budget Calculations'!$W$10:$W$12</definedName>
    <definedName name="_xlchart.v1.1" hidden="1">'Costs and Budget Calculations'!#REF!</definedName>
    <definedName name="_xlchart.v1.2" hidden="1">'Costs and Budget Calculations'!$X$10:$X$12</definedName>
    <definedName name="_xlchart.v1.3" hidden="1">'Costs and Budget Calculations'!#REF!</definedName>
    <definedName name="_xlchart.v1.4" hidden="1">'Costs and Budget Calculations'!#REF!</definedName>
    <definedName name="_xlchart.v1.5" hidden="1">'Costs and Budget Calculations'!#REF!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4" l="1"/>
  <c r="C43" i="14"/>
  <c r="B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43" i="14" l="1"/>
</calcChain>
</file>

<file path=xl/sharedStrings.xml><?xml version="1.0" encoding="utf-8"?>
<sst xmlns="http://schemas.openxmlformats.org/spreadsheetml/2006/main" count="885" uniqueCount="191">
  <si>
    <t>Business capability
(level 1)</t>
  </si>
  <si>
    <t>Business capability
(level 2)</t>
  </si>
  <si>
    <t>Application</t>
  </si>
  <si>
    <t>Business Stategy Management</t>
  </si>
  <si>
    <t>Acquisition and Merging</t>
  </si>
  <si>
    <t>Business Strategy Communication</t>
  </si>
  <si>
    <t>Market Research</t>
  </si>
  <si>
    <t>Strategy Development</t>
  </si>
  <si>
    <t>USP Identification</t>
  </si>
  <si>
    <t>Customer Relationship Management</t>
  </si>
  <si>
    <t>Guiding Capabilities</t>
  </si>
  <si>
    <t>Azure Synapse</t>
  </si>
  <si>
    <t>GRC</t>
  </si>
  <si>
    <t>Risk Management</t>
  </si>
  <si>
    <t>Risk Identification</t>
  </si>
  <si>
    <t>Risk Assesment</t>
  </si>
  <si>
    <t>Risk Mitigation</t>
  </si>
  <si>
    <t>Risk Control</t>
  </si>
  <si>
    <t>Risk Documentation</t>
  </si>
  <si>
    <t>Compliance Management</t>
  </si>
  <si>
    <t>Regulation Identification</t>
  </si>
  <si>
    <t>CargoWise</t>
  </si>
  <si>
    <t>Staff Training</t>
  </si>
  <si>
    <t>Policy Setup</t>
  </si>
  <si>
    <t>Compliance Monitoring</t>
  </si>
  <si>
    <t>Issue Reporting</t>
  </si>
  <si>
    <t>Confluence</t>
  </si>
  <si>
    <t>Enterprise Architecture</t>
  </si>
  <si>
    <t>Performance Management</t>
  </si>
  <si>
    <t>Process Analysis</t>
  </si>
  <si>
    <t>KPI Management</t>
  </si>
  <si>
    <t>Business Process Improvement</t>
  </si>
  <si>
    <t>Corporate Reporting</t>
  </si>
  <si>
    <t>PowerBI</t>
  </si>
  <si>
    <t>Core Capabilites</t>
  </si>
  <si>
    <t>Capabilites level</t>
  </si>
  <si>
    <t>Product Management</t>
  </si>
  <si>
    <t>Product Development</t>
  </si>
  <si>
    <t>Jira</t>
  </si>
  <si>
    <t>Product Sourcing</t>
  </si>
  <si>
    <t>Product Portfolio Management</t>
  </si>
  <si>
    <t>Product Deployment</t>
  </si>
  <si>
    <t>Product Version Management</t>
  </si>
  <si>
    <t>Operation Management</t>
  </si>
  <si>
    <t>Order Management</t>
  </si>
  <si>
    <t>Order Release Management</t>
  </si>
  <si>
    <t>IBM OMS</t>
  </si>
  <si>
    <t>Magento Plugin</t>
  </si>
  <si>
    <t>Order Processing</t>
  </si>
  <si>
    <t>Return Management</t>
  </si>
  <si>
    <t>Shipment Tracking</t>
  </si>
  <si>
    <t>TrackDB</t>
  </si>
  <si>
    <t xml:space="preserve">International Logistics </t>
  </si>
  <si>
    <t>International Law Management</t>
  </si>
  <si>
    <t>WiseGuy</t>
  </si>
  <si>
    <t>Import Management</t>
  </si>
  <si>
    <t>Export Management</t>
  </si>
  <si>
    <t>Document Management</t>
  </si>
  <si>
    <t>Customs Price Management</t>
  </si>
  <si>
    <t>Sales Management</t>
  </si>
  <si>
    <t>Sales Teams Assigment</t>
  </si>
  <si>
    <t>Lead Management</t>
  </si>
  <si>
    <t>Opportunity Creation</t>
  </si>
  <si>
    <t>Product Offering</t>
  </si>
  <si>
    <t>Distribution Channel Management</t>
  </si>
  <si>
    <t>Salesforce</t>
  </si>
  <si>
    <t>Transport Management</t>
  </si>
  <si>
    <t>Spot Management</t>
  </si>
  <si>
    <t>Planning and Coordination</t>
  </si>
  <si>
    <t>Freight Management</t>
  </si>
  <si>
    <t>Delivery Management</t>
  </si>
  <si>
    <t>Order Picking Management</t>
  </si>
  <si>
    <t>Statman+</t>
  </si>
  <si>
    <t>PandP</t>
  </si>
  <si>
    <t>Sorting Center Management</t>
  </si>
  <si>
    <t>Parcel Packaging</t>
  </si>
  <si>
    <t>Parcel Sorting</t>
  </si>
  <si>
    <t>Inspection of Incoming Returns</t>
  </si>
  <si>
    <t>Restocking</t>
  </si>
  <si>
    <t>Warehouse Management</t>
  </si>
  <si>
    <t>Inventory Management</t>
  </si>
  <si>
    <t>Storage Planning</t>
  </si>
  <si>
    <t>Inbound Processing</t>
  </si>
  <si>
    <t>Inventory Adjustment</t>
  </si>
  <si>
    <t>Dispatch Management</t>
  </si>
  <si>
    <t>Fleet Management</t>
  </si>
  <si>
    <t>Fleet MRO</t>
  </si>
  <si>
    <t>Fleet Expansion Management</t>
  </si>
  <si>
    <t>Fleet Relinquishment Management</t>
  </si>
  <si>
    <t>Fleet Ownership</t>
  </si>
  <si>
    <t>Fleet Monitoring</t>
  </si>
  <si>
    <t>WooDelivery</t>
  </si>
  <si>
    <t>Route &amp; Network Management</t>
  </si>
  <si>
    <t>Location Planning</t>
  </si>
  <si>
    <t>Route Planning</t>
  </si>
  <si>
    <t>Fleet Operations</t>
  </si>
  <si>
    <t>E-Commerce Management</t>
  </si>
  <si>
    <t>E-Commerce Integration</t>
  </si>
  <si>
    <t>Digital Pricing &amp; Quotation Management</t>
  </si>
  <si>
    <t>Customer Self-Service Portal</t>
  </si>
  <si>
    <t>Online Order Management</t>
  </si>
  <si>
    <t>Business Partner Management</t>
  </si>
  <si>
    <t>Contract Negotiation</t>
  </si>
  <si>
    <t>Carrier Relationship Management</t>
  </si>
  <si>
    <t>Communication Management</t>
  </si>
  <si>
    <t>Account Management</t>
  </si>
  <si>
    <t>Partner Network Management</t>
  </si>
  <si>
    <t>Enabling Capabilities</t>
  </si>
  <si>
    <t>Financial Management</t>
  </si>
  <si>
    <t>Financial Account Management</t>
  </si>
  <si>
    <t>Order Payment Management</t>
  </si>
  <si>
    <t>Tax Management</t>
  </si>
  <si>
    <t>Asset and Liability Management</t>
  </si>
  <si>
    <t>Financial Planning</t>
  </si>
  <si>
    <t>Budget Management</t>
  </si>
  <si>
    <t>Financial Reporting</t>
  </si>
  <si>
    <t>Workday FI</t>
  </si>
  <si>
    <t>AssetMan</t>
  </si>
  <si>
    <t>Customer Management</t>
  </si>
  <si>
    <t>Customer Acquisition</t>
  </si>
  <si>
    <t>Customer Service</t>
  </si>
  <si>
    <t>Customer Contract Management</t>
  </si>
  <si>
    <t>Customer Feedback</t>
  </si>
  <si>
    <t>HR Management</t>
  </si>
  <si>
    <t>Acquisition</t>
  </si>
  <si>
    <t>Termination</t>
  </si>
  <si>
    <t>Employee Payment Management</t>
  </si>
  <si>
    <t>Employee Onboarding</t>
  </si>
  <si>
    <t>Workday HR</t>
  </si>
  <si>
    <t>IT Management</t>
  </si>
  <si>
    <t>IT Security</t>
  </si>
  <si>
    <t>Data Management</t>
  </si>
  <si>
    <t>System Maintenance</t>
  </si>
  <si>
    <t>cmdb</t>
  </si>
  <si>
    <t>RabbitMQ</t>
  </si>
  <si>
    <t>Facility Management</t>
  </si>
  <si>
    <t>Facility Acquisition</t>
  </si>
  <si>
    <t>Facilities Utilization Management</t>
  </si>
  <si>
    <t>Facility Reliquish Management</t>
  </si>
  <si>
    <t>Marketing Management</t>
  </si>
  <si>
    <t>Campaign Management</t>
  </si>
  <si>
    <t>Performance &amp; Analytics Management</t>
  </si>
  <si>
    <t>Marketing Strategy Management</t>
  </si>
  <si>
    <t>Marketeer</t>
  </si>
  <si>
    <t>Market Data</t>
  </si>
  <si>
    <t>Config Table</t>
  </si>
  <si>
    <t xml:space="preserve">Intro Cost per System        </t>
  </si>
  <si>
    <t>IntroSys</t>
  </si>
  <si>
    <t xml:space="preserve">Intro Cost per Data Flow     </t>
  </si>
  <si>
    <t xml:space="preserve">Decom Cost per System        </t>
  </si>
  <si>
    <t>DecomSys</t>
  </si>
  <si>
    <t xml:space="preserve">Decom Cost per Data Flow     </t>
  </si>
  <si>
    <t>DecomFlow</t>
  </si>
  <si>
    <t xml:space="preserve">Transformation Budget        </t>
  </si>
  <si>
    <t>Budget</t>
  </si>
  <si>
    <t xml:space="preserve">Run-Cost Reduction Target    </t>
  </si>
  <si>
    <t>RunCutTarget</t>
  </si>
  <si>
    <t>License</t>
  </si>
  <si>
    <t>Run</t>
  </si>
  <si>
    <t>Maintenance</t>
  </si>
  <si>
    <t>Total Costs</t>
  </si>
  <si>
    <t>salesforce</t>
  </si>
  <si>
    <t>Lead analytics</t>
  </si>
  <si>
    <t>API Gateway</t>
  </si>
  <si>
    <t>Power BI</t>
  </si>
  <si>
    <t>StatMan</t>
  </si>
  <si>
    <t>WHAU</t>
  </si>
  <si>
    <t>Report Smith</t>
  </si>
  <si>
    <t>CNCustoms</t>
  </si>
  <si>
    <t>SAP HR</t>
  </si>
  <si>
    <t>LMD System</t>
  </si>
  <si>
    <t>FinApp</t>
  </si>
  <si>
    <t>MTS</t>
  </si>
  <si>
    <t>SAP FI</t>
  </si>
  <si>
    <t>Enterprise Architect</t>
  </si>
  <si>
    <t>Payroll</t>
  </si>
  <si>
    <t>BusMan</t>
  </si>
  <si>
    <t>WordPress</t>
  </si>
  <si>
    <t>CustARD</t>
  </si>
  <si>
    <t>Access</t>
  </si>
  <si>
    <t>Costs</t>
  </si>
  <si>
    <t>Abbreviation</t>
  </si>
  <si>
    <t>IT Equipment Management</t>
  </si>
  <si>
    <t>Count of Application</t>
  </si>
  <si>
    <t>Sustainability Management</t>
  </si>
  <si>
    <t>Employee Performance Management</t>
  </si>
  <si>
    <t>Grand Total</t>
  </si>
  <si>
    <t>Column Labels</t>
  </si>
  <si>
    <t>Row Labels</t>
  </si>
  <si>
    <t>Sustainability Management2</t>
  </si>
  <si>
    <t>Costs per App per annum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</si>
</sst>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[$€-407]_-;\-* #,##0.00\ [$€-407]_-;_-* &quot;-&quot;??\ [$€-407]_-;_-@_-"/>
    <numFmt numFmtId="166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2" xfId="0" applyFill="1" applyBorder="1"/>
    <xf numFmtId="0" fontId="0" fillId="0" borderId="0" xfId="0" applyAlignment="1">
      <alignment horizontal="left" indent="2"/>
    </xf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  <xf numFmtId="0" fontId="2" fillId="0" borderId="0" xfId="0" applyFont="1"/>
    <xf numFmtId="165" fontId="0" fillId="0" borderId="0" xfId="1" applyNumberFormat="1" applyFont="1"/>
    <xf numFmtId="164" fontId="0" fillId="0" borderId="0" xfId="1" applyFont="1"/>
    <xf numFmtId="165" fontId="0" fillId="0" borderId="0" xfId="0" applyNumberFormat="1"/>
    <xf numFmtId="0" fontId="2" fillId="0" borderId="0" xfId="0" applyFont="1" applyAlignment="1">
      <alignment vertical="center"/>
    </xf>
    <xf numFmtId="165" fontId="2" fillId="0" borderId="0" xfId="1" applyNumberFormat="1" applyFont="1"/>
    <xf numFmtId="9" fontId="2" fillId="0" borderId="0" xfId="2" applyFont="1"/>
    <xf numFmtId="166" fontId="0" fillId="0" borderId="0" xfId="0" applyNumberFormat="1"/>
    <xf numFmtId="0" fontId="3" fillId="5" borderId="0" xfId="0" applyFont="1" applyFill="1"/>
    <xf numFmtId="166" fontId="0" fillId="5" borderId="0" xfId="0" applyNumberFormat="1" applyFill="1"/>
  </cellXfs>
  <cellStyles count="3">
    <cellStyle name="Currency" xfId="1" builtinId="4"/>
    <cellStyle name="Normal" xfId="0" builtinId="0"/>
    <cellStyle name="Per cent" xfId="2" builtinId="5"/>
  </cellStyles>
  <dxfs count="1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drik Gruber" refreshedDate="45869.871131597225" createdVersion="8" refreshedVersion="8" minRefreshableVersion="3" recordCount="170" xr:uid="{5C31825E-3845-4A78-B2BB-AED6D748FCCC}">
  <cacheSource type="worksheet">
    <worksheetSource ref="A1:D171" sheet="ToBe Application List"/>
  </cacheSource>
  <cacheFields count="4">
    <cacheField name="Capabilites level" numFmtId="0">
      <sharedItems count="3">
        <s v="Guiding Capabilities"/>
        <s v="Core Capabilites"/>
        <s v="Enabling Capabilities"/>
      </sharedItems>
    </cacheField>
    <cacheField name="Business capability_x000a_(level 1)" numFmtId="0">
      <sharedItems count="21">
        <s v="Business Stategy Management"/>
        <s v="Risk Management"/>
        <s v="Compliance Management"/>
        <s v="Performance Management"/>
        <s v="Product Management"/>
        <s v="Order Management"/>
        <s v="International Logistics "/>
        <s v="Sales Management"/>
        <s v="Transport Management"/>
        <s v="Sorting Center Management"/>
        <s v="Warehouse Management"/>
        <s v="Fleet Management"/>
        <s v="Route &amp; Network Management"/>
        <s v="E-Commerce Management"/>
        <s v="Business Partner Management"/>
        <s v="Financial Management"/>
        <s v="Customer Management"/>
        <s v="HR Management"/>
        <s v="IT Management"/>
        <s v="Facility Management"/>
        <s v="Marketing Management"/>
      </sharedItems>
    </cacheField>
    <cacheField name="Business capability_x000a_(level 2)" numFmtId="0">
      <sharedItems count="100">
        <s v="Strategy Development"/>
        <s v="Business Strategy Communication"/>
        <s v="Sustainability Management"/>
        <s v="Market Research"/>
        <s v="Acquisition and Merging"/>
        <s v="USP Identification"/>
        <s v="Risk Identification"/>
        <s v="Risk Assesment"/>
        <s v="Risk Mitigation"/>
        <s v="Risk Control"/>
        <s v="Risk Documentation"/>
        <s v="Regulation Identification"/>
        <s v="Policy Setup"/>
        <s v="Staff Training"/>
        <s v="Compliance Monitoring"/>
        <s v="Issue Reporting"/>
        <s v="Process Analysis"/>
        <s v="KPI Management"/>
        <s v="Business Process Improvement"/>
        <s v="Corporate Reporting"/>
        <s v="Product Development"/>
        <s v="Product Sourcing"/>
        <s v="Product Deployment"/>
        <s v="Product Portfolio Management"/>
        <s v="Product Version Management"/>
        <s v="Operation Management"/>
        <s v="Order Release Management"/>
        <s v="Order Processing"/>
        <s v="Return Management"/>
        <s v="Shipment Tracking"/>
        <s v="International Law Management"/>
        <s v="Import Management"/>
        <s v="Export Management"/>
        <s v="Document Management"/>
        <s v="Customs Price Management"/>
        <s v="Sales Teams Assigment"/>
        <s v="Lead Management"/>
        <s v="Opportunity Creation"/>
        <s v="Product Offering"/>
        <s v="Distribution Channel Management"/>
        <s v="Spot Management"/>
        <s v="Planning and Coordination"/>
        <s v="Freight Management"/>
        <s v="Delivery Management"/>
        <s v="Order Picking Management"/>
        <s v="Parcel Packaging"/>
        <s v="Parcel Sorting"/>
        <s v="Inspection of Incoming Returns"/>
        <s v="Restocking"/>
        <s v="Inventory Management"/>
        <s v="Storage Planning"/>
        <s v="Inbound Processing"/>
        <s v="Inventory Adjustment"/>
        <s v="Dispatch Management"/>
        <s v="Fleet MRO"/>
        <s v="Fleet Expansion Management"/>
        <s v="Fleet Relinquishment Management"/>
        <s v="Fleet Ownership"/>
        <s v="Fleet Monitoring"/>
        <s v="Location Planning"/>
        <s v="Route Planning"/>
        <s v="Fleet Operations"/>
        <s v="E-Commerce Integration"/>
        <s v="Digital Pricing &amp; Quotation Management"/>
        <s v="Customer Self-Service Portal"/>
        <s v="Online Order Management"/>
        <s v="Contract Negotiation"/>
        <s v="Carrier Relationship Management"/>
        <s v="Communication Management"/>
        <s v="Account Management"/>
        <s v="Partner Network Management"/>
        <s v="Financial Account Management"/>
        <s v="Order Payment Management"/>
        <s v="Tax Management"/>
        <s v="Asset and Liability Management"/>
        <s v="Financial Planning"/>
        <s v="Budget Management"/>
        <s v="Financial Reporting"/>
        <s v="Customer Acquisition"/>
        <s v="Customer Service"/>
        <s v="Customer Relationship Management"/>
        <s v="Customer Contract Management"/>
        <s v="Customer Feedback"/>
        <s v="Acquisition"/>
        <s v="Employee Performance Management"/>
        <s v="Termination"/>
        <s v="Employee Payment Management"/>
        <s v="Employee Onboarding"/>
        <s v="IT Equipment Management"/>
        <s v="IT Security"/>
        <s v="Data Management"/>
        <s v="System Maintenance"/>
        <s v="Facility Acquisition"/>
        <s v="Facilities Utilization Management"/>
        <s v="Facility Reliquish Management"/>
        <s v="Campaign Management"/>
        <s v="Performance &amp; Analytics Management"/>
        <s v="Marketing Strategy Management"/>
        <s v="Systainability Management" u="1"/>
        <s v="Performance Management" u="1"/>
      </sharedItems>
    </cacheField>
    <cacheField name="Application" numFmtId="0">
      <sharedItems count="21">
        <s v="Azure Synapse"/>
        <s v="PowerBI"/>
        <s v="GRC"/>
        <s v="CargoWise"/>
        <s v="Enterprise Architecture"/>
        <s v="Jira"/>
        <s v="Confluence"/>
        <s v="IBM OMS"/>
        <s v="Magento Plugin"/>
        <s v="API Gateway"/>
        <s v="TrackDB"/>
        <s v="Salesforce"/>
        <s v="Statman+"/>
        <s v="PandP"/>
        <s v="WooDelivery"/>
        <s v="Workday FI"/>
        <s v="AssetMan"/>
        <s v="Workday HR"/>
        <s v="cmdb"/>
        <s v="RabbitMQ"/>
        <s v="Market Da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x v="0"/>
    <x v="0"/>
    <x v="0"/>
  </r>
  <r>
    <x v="0"/>
    <x v="0"/>
    <x v="0"/>
    <x v="1"/>
  </r>
  <r>
    <x v="0"/>
    <x v="0"/>
    <x v="0"/>
    <x v="2"/>
  </r>
  <r>
    <x v="0"/>
    <x v="0"/>
    <x v="1"/>
    <x v="1"/>
  </r>
  <r>
    <x v="0"/>
    <x v="0"/>
    <x v="1"/>
    <x v="0"/>
  </r>
  <r>
    <x v="0"/>
    <x v="0"/>
    <x v="1"/>
    <x v="1"/>
  </r>
  <r>
    <x v="0"/>
    <x v="0"/>
    <x v="2"/>
    <x v="2"/>
  </r>
  <r>
    <x v="0"/>
    <x v="0"/>
    <x v="2"/>
    <x v="1"/>
  </r>
  <r>
    <x v="0"/>
    <x v="0"/>
    <x v="3"/>
    <x v="0"/>
  </r>
  <r>
    <x v="0"/>
    <x v="0"/>
    <x v="4"/>
    <x v="0"/>
  </r>
  <r>
    <x v="0"/>
    <x v="0"/>
    <x v="5"/>
    <x v="2"/>
  </r>
  <r>
    <x v="0"/>
    <x v="1"/>
    <x v="6"/>
    <x v="3"/>
  </r>
  <r>
    <x v="0"/>
    <x v="1"/>
    <x v="6"/>
    <x v="2"/>
  </r>
  <r>
    <x v="0"/>
    <x v="1"/>
    <x v="7"/>
    <x v="2"/>
  </r>
  <r>
    <x v="0"/>
    <x v="1"/>
    <x v="8"/>
    <x v="2"/>
  </r>
  <r>
    <x v="0"/>
    <x v="1"/>
    <x v="9"/>
    <x v="2"/>
  </r>
  <r>
    <x v="0"/>
    <x v="1"/>
    <x v="10"/>
    <x v="2"/>
  </r>
  <r>
    <x v="0"/>
    <x v="2"/>
    <x v="11"/>
    <x v="3"/>
  </r>
  <r>
    <x v="0"/>
    <x v="2"/>
    <x v="11"/>
    <x v="2"/>
  </r>
  <r>
    <x v="0"/>
    <x v="2"/>
    <x v="12"/>
    <x v="2"/>
  </r>
  <r>
    <x v="0"/>
    <x v="2"/>
    <x v="13"/>
    <x v="4"/>
  </r>
  <r>
    <x v="0"/>
    <x v="2"/>
    <x v="13"/>
    <x v="5"/>
  </r>
  <r>
    <x v="0"/>
    <x v="2"/>
    <x v="13"/>
    <x v="6"/>
  </r>
  <r>
    <x v="0"/>
    <x v="2"/>
    <x v="14"/>
    <x v="2"/>
  </r>
  <r>
    <x v="0"/>
    <x v="2"/>
    <x v="15"/>
    <x v="2"/>
  </r>
  <r>
    <x v="0"/>
    <x v="3"/>
    <x v="16"/>
    <x v="1"/>
  </r>
  <r>
    <x v="0"/>
    <x v="3"/>
    <x v="16"/>
    <x v="0"/>
  </r>
  <r>
    <x v="0"/>
    <x v="3"/>
    <x v="17"/>
    <x v="1"/>
  </r>
  <r>
    <x v="0"/>
    <x v="3"/>
    <x v="17"/>
    <x v="0"/>
  </r>
  <r>
    <x v="0"/>
    <x v="3"/>
    <x v="18"/>
    <x v="1"/>
  </r>
  <r>
    <x v="0"/>
    <x v="3"/>
    <x v="18"/>
    <x v="4"/>
  </r>
  <r>
    <x v="0"/>
    <x v="3"/>
    <x v="18"/>
    <x v="0"/>
  </r>
  <r>
    <x v="0"/>
    <x v="3"/>
    <x v="19"/>
    <x v="1"/>
  </r>
  <r>
    <x v="0"/>
    <x v="3"/>
    <x v="19"/>
    <x v="0"/>
  </r>
  <r>
    <x v="0"/>
    <x v="3"/>
    <x v="19"/>
    <x v="2"/>
  </r>
  <r>
    <x v="1"/>
    <x v="4"/>
    <x v="20"/>
    <x v="6"/>
  </r>
  <r>
    <x v="1"/>
    <x v="4"/>
    <x v="20"/>
    <x v="5"/>
  </r>
  <r>
    <x v="1"/>
    <x v="4"/>
    <x v="21"/>
    <x v="6"/>
  </r>
  <r>
    <x v="1"/>
    <x v="4"/>
    <x v="22"/>
    <x v="6"/>
  </r>
  <r>
    <x v="1"/>
    <x v="4"/>
    <x v="22"/>
    <x v="5"/>
  </r>
  <r>
    <x v="1"/>
    <x v="4"/>
    <x v="23"/>
    <x v="6"/>
  </r>
  <r>
    <x v="1"/>
    <x v="4"/>
    <x v="24"/>
    <x v="6"/>
  </r>
  <r>
    <x v="1"/>
    <x v="4"/>
    <x v="24"/>
    <x v="5"/>
  </r>
  <r>
    <x v="1"/>
    <x v="4"/>
    <x v="25"/>
    <x v="6"/>
  </r>
  <r>
    <x v="1"/>
    <x v="4"/>
    <x v="25"/>
    <x v="5"/>
  </r>
  <r>
    <x v="1"/>
    <x v="5"/>
    <x v="26"/>
    <x v="7"/>
  </r>
  <r>
    <x v="1"/>
    <x v="5"/>
    <x v="26"/>
    <x v="8"/>
  </r>
  <r>
    <x v="1"/>
    <x v="5"/>
    <x v="26"/>
    <x v="9"/>
  </r>
  <r>
    <x v="1"/>
    <x v="5"/>
    <x v="27"/>
    <x v="7"/>
  </r>
  <r>
    <x v="1"/>
    <x v="5"/>
    <x v="27"/>
    <x v="8"/>
  </r>
  <r>
    <x v="1"/>
    <x v="5"/>
    <x v="27"/>
    <x v="9"/>
  </r>
  <r>
    <x v="1"/>
    <x v="5"/>
    <x v="28"/>
    <x v="7"/>
  </r>
  <r>
    <x v="1"/>
    <x v="5"/>
    <x v="29"/>
    <x v="10"/>
  </r>
  <r>
    <x v="1"/>
    <x v="5"/>
    <x v="29"/>
    <x v="8"/>
  </r>
  <r>
    <x v="1"/>
    <x v="6"/>
    <x v="30"/>
    <x v="3"/>
  </r>
  <r>
    <x v="1"/>
    <x v="6"/>
    <x v="31"/>
    <x v="3"/>
  </r>
  <r>
    <x v="1"/>
    <x v="6"/>
    <x v="31"/>
    <x v="10"/>
  </r>
  <r>
    <x v="1"/>
    <x v="6"/>
    <x v="31"/>
    <x v="9"/>
  </r>
  <r>
    <x v="1"/>
    <x v="6"/>
    <x v="32"/>
    <x v="10"/>
  </r>
  <r>
    <x v="1"/>
    <x v="6"/>
    <x v="32"/>
    <x v="3"/>
  </r>
  <r>
    <x v="1"/>
    <x v="6"/>
    <x v="32"/>
    <x v="9"/>
  </r>
  <r>
    <x v="1"/>
    <x v="6"/>
    <x v="33"/>
    <x v="6"/>
  </r>
  <r>
    <x v="1"/>
    <x v="6"/>
    <x v="33"/>
    <x v="3"/>
  </r>
  <r>
    <x v="1"/>
    <x v="6"/>
    <x v="34"/>
    <x v="3"/>
  </r>
  <r>
    <x v="1"/>
    <x v="7"/>
    <x v="35"/>
    <x v="11"/>
  </r>
  <r>
    <x v="1"/>
    <x v="7"/>
    <x v="36"/>
    <x v="1"/>
  </r>
  <r>
    <x v="1"/>
    <x v="7"/>
    <x v="36"/>
    <x v="11"/>
  </r>
  <r>
    <x v="1"/>
    <x v="7"/>
    <x v="37"/>
    <x v="11"/>
  </r>
  <r>
    <x v="1"/>
    <x v="7"/>
    <x v="38"/>
    <x v="11"/>
  </r>
  <r>
    <x v="1"/>
    <x v="7"/>
    <x v="39"/>
    <x v="1"/>
  </r>
  <r>
    <x v="1"/>
    <x v="7"/>
    <x v="39"/>
    <x v="11"/>
  </r>
  <r>
    <x v="1"/>
    <x v="8"/>
    <x v="40"/>
    <x v="12"/>
  </r>
  <r>
    <x v="1"/>
    <x v="8"/>
    <x v="41"/>
    <x v="12"/>
  </r>
  <r>
    <x v="1"/>
    <x v="8"/>
    <x v="41"/>
    <x v="10"/>
  </r>
  <r>
    <x v="1"/>
    <x v="8"/>
    <x v="42"/>
    <x v="12"/>
  </r>
  <r>
    <x v="1"/>
    <x v="8"/>
    <x v="43"/>
    <x v="12"/>
  </r>
  <r>
    <x v="1"/>
    <x v="8"/>
    <x v="43"/>
    <x v="10"/>
  </r>
  <r>
    <x v="1"/>
    <x v="8"/>
    <x v="44"/>
    <x v="10"/>
  </r>
  <r>
    <x v="1"/>
    <x v="8"/>
    <x v="44"/>
    <x v="13"/>
  </r>
  <r>
    <x v="1"/>
    <x v="9"/>
    <x v="45"/>
    <x v="13"/>
  </r>
  <r>
    <x v="1"/>
    <x v="9"/>
    <x v="46"/>
    <x v="12"/>
  </r>
  <r>
    <x v="1"/>
    <x v="9"/>
    <x v="46"/>
    <x v="13"/>
  </r>
  <r>
    <x v="1"/>
    <x v="9"/>
    <x v="47"/>
    <x v="12"/>
  </r>
  <r>
    <x v="1"/>
    <x v="9"/>
    <x v="48"/>
    <x v="12"/>
  </r>
  <r>
    <x v="1"/>
    <x v="10"/>
    <x v="49"/>
    <x v="7"/>
  </r>
  <r>
    <x v="1"/>
    <x v="10"/>
    <x v="49"/>
    <x v="3"/>
  </r>
  <r>
    <x v="1"/>
    <x v="10"/>
    <x v="50"/>
    <x v="7"/>
  </r>
  <r>
    <x v="1"/>
    <x v="10"/>
    <x v="50"/>
    <x v="3"/>
  </r>
  <r>
    <x v="1"/>
    <x v="10"/>
    <x v="51"/>
    <x v="7"/>
  </r>
  <r>
    <x v="1"/>
    <x v="10"/>
    <x v="51"/>
    <x v="8"/>
  </r>
  <r>
    <x v="1"/>
    <x v="10"/>
    <x v="51"/>
    <x v="3"/>
  </r>
  <r>
    <x v="1"/>
    <x v="10"/>
    <x v="52"/>
    <x v="7"/>
  </r>
  <r>
    <x v="1"/>
    <x v="10"/>
    <x v="52"/>
    <x v="3"/>
  </r>
  <r>
    <x v="1"/>
    <x v="10"/>
    <x v="53"/>
    <x v="7"/>
  </r>
  <r>
    <x v="1"/>
    <x v="10"/>
    <x v="53"/>
    <x v="8"/>
  </r>
  <r>
    <x v="1"/>
    <x v="10"/>
    <x v="53"/>
    <x v="3"/>
  </r>
  <r>
    <x v="1"/>
    <x v="11"/>
    <x v="54"/>
    <x v="14"/>
  </r>
  <r>
    <x v="1"/>
    <x v="11"/>
    <x v="55"/>
    <x v="14"/>
  </r>
  <r>
    <x v="1"/>
    <x v="11"/>
    <x v="56"/>
    <x v="14"/>
  </r>
  <r>
    <x v="1"/>
    <x v="11"/>
    <x v="57"/>
    <x v="14"/>
  </r>
  <r>
    <x v="1"/>
    <x v="11"/>
    <x v="58"/>
    <x v="14"/>
  </r>
  <r>
    <x v="1"/>
    <x v="12"/>
    <x v="59"/>
    <x v="1"/>
  </r>
  <r>
    <x v="1"/>
    <x v="12"/>
    <x v="60"/>
    <x v="1"/>
  </r>
  <r>
    <x v="1"/>
    <x v="12"/>
    <x v="61"/>
    <x v="14"/>
  </r>
  <r>
    <x v="1"/>
    <x v="13"/>
    <x v="62"/>
    <x v="8"/>
  </r>
  <r>
    <x v="1"/>
    <x v="13"/>
    <x v="62"/>
    <x v="9"/>
  </r>
  <r>
    <x v="1"/>
    <x v="13"/>
    <x v="63"/>
    <x v="8"/>
  </r>
  <r>
    <x v="1"/>
    <x v="13"/>
    <x v="64"/>
    <x v="8"/>
  </r>
  <r>
    <x v="1"/>
    <x v="13"/>
    <x v="64"/>
    <x v="9"/>
  </r>
  <r>
    <x v="1"/>
    <x v="13"/>
    <x v="65"/>
    <x v="7"/>
  </r>
  <r>
    <x v="1"/>
    <x v="13"/>
    <x v="65"/>
    <x v="8"/>
  </r>
  <r>
    <x v="1"/>
    <x v="13"/>
    <x v="65"/>
    <x v="9"/>
  </r>
  <r>
    <x v="1"/>
    <x v="14"/>
    <x v="66"/>
    <x v="11"/>
  </r>
  <r>
    <x v="1"/>
    <x v="14"/>
    <x v="66"/>
    <x v="14"/>
  </r>
  <r>
    <x v="1"/>
    <x v="14"/>
    <x v="67"/>
    <x v="11"/>
  </r>
  <r>
    <x v="1"/>
    <x v="14"/>
    <x v="67"/>
    <x v="14"/>
  </r>
  <r>
    <x v="1"/>
    <x v="14"/>
    <x v="68"/>
    <x v="14"/>
  </r>
  <r>
    <x v="1"/>
    <x v="14"/>
    <x v="69"/>
    <x v="11"/>
  </r>
  <r>
    <x v="1"/>
    <x v="14"/>
    <x v="69"/>
    <x v="14"/>
  </r>
  <r>
    <x v="1"/>
    <x v="14"/>
    <x v="70"/>
    <x v="11"/>
  </r>
  <r>
    <x v="1"/>
    <x v="14"/>
    <x v="70"/>
    <x v="14"/>
  </r>
  <r>
    <x v="2"/>
    <x v="15"/>
    <x v="71"/>
    <x v="15"/>
  </r>
  <r>
    <x v="2"/>
    <x v="15"/>
    <x v="72"/>
    <x v="15"/>
  </r>
  <r>
    <x v="2"/>
    <x v="15"/>
    <x v="73"/>
    <x v="15"/>
  </r>
  <r>
    <x v="2"/>
    <x v="15"/>
    <x v="74"/>
    <x v="16"/>
  </r>
  <r>
    <x v="2"/>
    <x v="15"/>
    <x v="74"/>
    <x v="15"/>
  </r>
  <r>
    <x v="2"/>
    <x v="15"/>
    <x v="75"/>
    <x v="15"/>
  </r>
  <r>
    <x v="2"/>
    <x v="15"/>
    <x v="76"/>
    <x v="15"/>
  </r>
  <r>
    <x v="2"/>
    <x v="15"/>
    <x v="77"/>
    <x v="15"/>
  </r>
  <r>
    <x v="2"/>
    <x v="16"/>
    <x v="78"/>
    <x v="1"/>
  </r>
  <r>
    <x v="2"/>
    <x v="16"/>
    <x v="78"/>
    <x v="11"/>
  </r>
  <r>
    <x v="2"/>
    <x v="16"/>
    <x v="79"/>
    <x v="5"/>
  </r>
  <r>
    <x v="2"/>
    <x v="16"/>
    <x v="79"/>
    <x v="11"/>
  </r>
  <r>
    <x v="2"/>
    <x v="16"/>
    <x v="80"/>
    <x v="1"/>
  </r>
  <r>
    <x v="2"/>
    <x v="16"/>
    <x v="80"/>
    <x v="11"/>
  </r>
  <r>
    <x v="2"/>
    <x v="16"/>
    <x v="81"/>
    <x v="1"/>
  </r>
  <r>
    <x v="2"/>
    <x v="16"/>
    <x v="81"/>
    <x v="11"/>
  </r>
  <r>
    <x v="2"/>
    <x v="16"/>
    <x v="82"/>
    <x v="1"/>
  </r>
  <r>
    <x v="2"/>
    <x v="16"/>
    <x v="82"/>
    <x v="11"/>
  </r>
  <r>
    <x v="2"/>
    <x v="17"/>
    <x v="83"/>
    <x v="17"/>
  </r>
  <r>
    <x v="2"/>
    <x v="17"/>
    <x v="84"/>
    <x v="17"/>
  </r>
  <r>
    <x v="2"/>
    <x v="17"/>
    <x v="85"/>
    <x v="17"/>
  </r>
  <r>
    <x v="2"/>
    <x v="17"/>
    <x v="86"/>
    <x v="17"/>
  </r>
  <r>
    <x v="2"/>
    <x v="17"/>
    <x v="87"/>
    <x v="6"/>
  </r>
  <r>
    <x v="2"/>
    <x v="17"/>
    <x v="87"/>
    <x v="5"/>
  </r>
  <r>
    <x v="2"/>
    <x v="17"/>
    <x v="87"/>
    <x v="17"/>
  </r>
  <r>
    <x v="2"/>
    <x v="18"/>
    <x v="88"/>
    <x v="6"/>
  </r>
  <r>
    <x v="2"/>
    <x v="18"/>
    <x v="88"/>
    <x v="5"/>
  </r>
  <r>
    <x v="2"/>
    <x v="18"/>
    <x v="89"/>
    <x v="18"/>
  </r>
  <r>
    <x v="2"/>
    <x v="18"/>
    <x v="89"/>
    <x v="19"/>
  </r>
  <r>
    <x v="2"/>
    <x v="18"/>
    <x v="89"/>
    <x v="2"/>
  </r>
  <r>
    <x v="2"/>
    <x v="18"/>
    <x v="90"/>
    <x v="18"/>
  </r>
  <r>
    <x v="2"/>
    <x v="18"/>
    <x v="90"/>
    <x v="0"/>
  </r>
  <r>
    <x v="2"/>
    <x v="18"/>
    <x v="90"/>
    <x v="2"/>
  </r>
  <r>
    <x v="2"/>
    <x v="18"/>
    <x v="91"/>
    <x v="18"/>
  </r>
  <r>
    <x v="2"/>
    <x v="18"/>
    <x v="91"/>
    <x v="0"/>
  </r>
  <r>
    <x v="2"/>
    <x v="18"/>
    <x v="91"/>
    <x v="4"/>
  </r>
  <r>
    <x v="2"/>
    <x v="18"/>
    <x v="91"/>
    <x v="2"/>
  </r>
  <r>
    <x v="2"/>
    <x v="19"/>
    <x v="92"/>
    <x v="16"/>
  </r>
  <r>
    <x v="2"/>
    <x v="19"/>
    <x v="93"/>
    <x v="16"/>
  </r>
  <r>
    <x v="2"/>
    <x v="19"/>
    <x v="94"/>
    <x v="16"/>
  </r>
  <r>
    <x v="2"/>
    <x v="20"/>
    <x v="95"/>
    <x v="1"/>
  </r>
  <r>
    <x v="2"/>
    <x v="20"/>
    <x v="95"/>
    <x v="11"/>
  </r>
  <r>
    <x v="2"/>
    <x v="20"/>
    <x v="96"/>
    <x v="1"/>
  </r>
  <r>
    <x v="2"/>
    <x v="20"/>
    <x v="96"/>
    <x v="11"/>
  </r>
  <r>
    <x v="2"/>
    <x v="20"/>
    <x v="96"/>
    <x v="20"/>
  </r>
  <r>
    <x v="2"/>
    <x v="20"/>
    <x v="96"/>
    <x v="0"/>
  </r>
  <r>
    <x v="2"/>
    <x v="20"/>
    <x v="97"/>
    <x v="1"/>
  </r>
  <r>
    <x v="2"/>
    <x v="20"/>
    <x v="97"/>
    <x v="11"/>
  </r>
  <r>
    <x v="2"/>
    <x v="20"/>
    <x v="97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4267C-06F5-42A9-9F31-5D102B6E1700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W127" firstHeaderRow="1" firstDataRow="2" firstDataCol="1"/>
  <pivotFields count="4">
    <pivotField axis="axisRow" showAll="0">
      <items count="4">
        <item x="1"/>
        <item x="2"/>
        <item x="0"/>
        <item t="default"/>
      </items>
    </pivotField>
    <pivotField axis="axisRow" showAll="0">
      <items count="22">
        <item x="14"/>
        <item x="0"/>
        <item x="2"/>
        <item x="16"/>
        <item x="13"/>
        <item x="19"/>
        <item x="15"/>
        <item x="11"/>
        <item x="17"/>
        <item x="6"/>
        <item x="18"/>
        <item x="20"/>
        <item x="5"/>
        <item x="3"/>
        <item x="4"/>
        <item x="1"/>
        <item x="12"/>
        <item x="7"/>
        <item x="9"/>
        <item x="8"/>
        <item x="10"/>
        <item t="default"/>
      </items>
    </pivotField>
    <pivotField axis="axisRow" showAll="0">
      <items count="101">
        <item x="69"/>
        <item x="83"/>
        <item x="4"/>
        <item x="74"/>
        <item x="76"/>
        <item x="18"/>
        <item x="1"/>
        <item x="95"/>
        <item x="67"/>
        <item x="68"/>
        <item x="14"/>
        <item x="66"/>
        <item x="19"/>
        <item x="78"/>
        <item x="81"/>
        <item x="82"/>
        <item x="80"/>
        <item x="64"/>
        <item x="79"/>
        <item x="34"/>
        <item x="90"/>
        <item x="43"/>
        <item x="63"/>
        <item x="53"/>
        <item x="39"/>
        <item x="33"/>
        <item x="62"/>
        <item x="87"/>
        <item x="86"/>
        <item x="32"/>
        <item x="93"/>
        <item x="92"/>
        <item x="94"/>
        <item x="71"/>
        <item x="75"/>
        <item x="77"/>
        <item x="55"/>
        <item x="58"/>
        <item x="54"/>
        <item x="61"/>
        <item x="57"/>
        <item x="56"/>
        <item x="42"/>
        <item x="31"/>
        <item x="51"/>
        <item x="47"/>
        <item x="30"/>
        <item x="52"/>
        <item x="49"/>
        <item x="15"/>
        <item x="88"/>
        <item x="89"/>
        <item x="17"/>
        <item x="36"/>
        <item x="59"/>
        <item x="3"/>
        <item x="97"/>
        <item x="65"/>
        <item x="25"/>
        <item x="37"/>
        <item x="72"/>
        <item x="44"/>
        <item x="27"/>
        <item x="26"/>
        <item x="45"/>
        <item x="46"/>
        <item x="70"/>
        <item x="96"/>
        <item m="1" x="99"/>
        <item x="41"/>
        <item x="12"/>
        <item x="16"/>
        <item x="22"/>
        <item x="20"/>
        <item x="38"/>
        <item x="23"/>
        <item x="21"/>
        <item x="24"/>
        <item x="11"/>
        <item x="48"/>
        <item x="28"/>
        <item x="7"/>
        <item x="9"/>
        <item x="10"/>
        <item x="6"/>
        <item x="8"/>
        <item x="60"/>
        <item x="35"/>
        <item x="29"/>
        <item x="40"/>
        <item x="13"/>
        <item x="50"/>
        <item x="0"/>
        <item n="Sustainability Management" m="1" x="98"/>
        <item x="91"/>
        <item x="73"/>
        <item x="85"/>
        <item x="5"/>
        <item n="Sustainability Management2" x="2"/>
        <item x="84"/>
        <item t="default"/>
      </items>
    </pivotField>
    <pivotField axis="axisCol" dataField="1" showAll="0">
      <items count="22">
        <item x="9"/>
        <item x="16"/>
        <item x="0"/>
        <item x="3"/>
        <item x="18"/>
        <item x="6"/>
        <item x="4"/>
        <item x="2"/>
        <item x="7"/>
        <item x="5"/>
        <item x="8"/>
        <item x="20"/>
        <item x="13"/>
        <item x="1"/>
        <item x="19"/>
        <item x="11"/>
        <item x="12"/>
        <item x="10"/>
        <item x="14"/>
        <item x="15"/>
        <item x="17"/>
        <item t="default"/>
      </items>
    </pivotField>
  </pivotFields>
  <rowFields count="3">
    <field x="0"/>
    <field x="1"/>
    <field x="2"/>
  </rowFields>
  <rowItems count="123">
    <i>
      <x/>
    </i>
    <i r="1">
      <x/>
    </i>
    <i r="2">
      <x/>
    </i>
    <i r="2">
      <x v="8"/>
    </i>
    <i r="2">
      <x v="9"/>
    </i>
    <i r="2">
      <x v="11"/>
    </i>
    <i r="2">
      <x v="66"/>
    </i>
    <i r="1">
      <x v="4"/>
    </i>
    <i r="2">
      <x v="17"/>
    </i>
    <i r="2">
      <x v="22"/>
    </i>
    <i r="2">
      <x v="26"/>
    </i>
    <i r="2">
      <x v="57"/>
    </i>
    <i r="1">
      <x v="7"/>
    </i>
    <i r="2">
      <x v="36"/>
    </i>
    <i r="2">
      <x v="37"/>
    </i>
    <i r="2">
      <x v="38"/>
    </i>
    <i r="2">
      <x v="40"/>
    </i>
    <i r="2">
      <x v="41"/>
    </i>
    <i r="1">
      <x v="9"/>
    </i>
    <i r="2">
      <x v="19"/>
    </i>
    <i r="2">
      <x v="25"/>
    </i>
    <i r="2">
      <x v="29"/>
    </i>
    <i r="2">
      <x v="43"/>
    </i>
    <i r="2">
      <x v="46"/>
    </i>
    <i r="1">
      <x v="12"/>
    </i>
    <i r="2">
      <x v="62"/>
    </i>
    <i r="2">
      <x v="63"/>
    </i>
    <i r="2">
      <x v="80"/>
    </i>
    <i r="2">
      <x v="88"/>
    </i>
    <i r="1">
      <x v="14"/>
    </i>
    <i r="2">
      <x v="58"/>
    </i>
    <i r="2">
      <x v="72"/>
    </i>
    <i r="2">
      <x v="73"/>
    </i>
    <i r="2">
      <x v="75"/>
    </i>
    <i r="2">
      <x v="76"/>
    </i>
    <i r="2">
      <x v="77"/>
    </i>
    <i r="1">
      <x v="16"/>
    </i>
    <i r="2">
      <x v="39"/>
    </i>
    <i r="2">
      <x v="54"/>
    </i>
    <i r="2">
      <x v="86"/>
    </i>
    <i r="1">
      <x v="17"/>
    </i>
    <i r="2">
      <x v="24"/>
    </i>
    <i r="2">
      <x v="53"/>
    </i>
    <i r="2">
      <x v="59"/>
    </i>
    <i r="2">
      <x v="74"/>
    </i>
    <i r="2">
      <x v="87"/>
    </i>
    <i r="1">
      <x v="18"/>
    </i>
    <i r="2">
      <x v="45"/>
    </i>
    <i r="2">
      <x v="64"/>
    </i>
    <i r="2">
      <x v="65"/>
    </i>
    <i r="2">
      <x v="79"/>
    </i>
    <i r="1">
      <x v="19"/>
    </i>
    <i r="2">
      <x v="21"/>
    </i>
    <i r="2">
      <x v="42"/>
    </i>
    <i r="2">
      <x v="61"/>
    </i>
    <i r="2">
      <x v="69"/>
    </i>
    <i r="2">
      <x v="89"/>
    </i>
    <i r="1">
      <x v="20"/>
    </i>
    <i r="2">
      <x v="23"/>
    </i>
    <i r="2">
      <x v="44"/>
    </i>
    <i r="2">
      <x v="47"/>
    </i>
    <i r="2">
      <x v="48"/>
    </i>
    <i r="2">
      <x v="91"/>
    </i>
    <i>
      <x v="1"/>
    </i>
    <i r="1">
      <x v="3"/>
    </i>
    <i r="2">
      <x v="13"/>
    </i>
    <i r="2">
      <x v="14"/>
    </i>
    <i r="2">
      <x v="15"/>
    </i>
    <i r="2">
      <x v="16"/>
    </i>
    <i r="2">
      <x v="18"/>
    </i>
    <i r="1">
      <x v="5"/>
    </i>
    <i r="2">
      <x v="30"/>
    </i>
    <i r="2">
      <x v="31"/>
    </i>
    <i r="2">
      <x v="32"/>
    </i>
    <i r="1">
      <x v="6"/>
    </i>
    <i r="2">
      <x v="3"/>
    </i>
    <i r="2">
      <x v="4"/>
    </i>
    <i r="2">
      <x v="33"/>
    </i>
    <i r="2">
      <x v="34"/>
    </i>
    <i r="2">
      <x v="35"/>
    </i>
    <i r="2">
      <x v="60"/>
    </i>
    <i r="2">
      <x v="95"/>
    </i>
    <i r="1">
      <x v="8"/>
    </i>
    <i r="2">
      <x v="1"/>
    </i>
    <i r="2">
      <x v="27"/>
    </i>
    <i r="2">
      <x v="28"/>
    </i>
    <i r="2">
      <x v="96"/>
    </i>
    <i r="2">
      <x v="99"/>
    </i>
    <i r="1">
      <x v="10"/>
    </i>
    <i r="2">
      <x v="20"/>
    </i>
    <i r="2">
      <x v="50"/>
    </i>
    <i r="2">
      <x v="51"/>
    </i>
    <i r="2">
      <x v="94"/>
    </i>
    <i r="1">
      <x v="11"/>
    </i>
    <i r="2">
      <x v="7"/>
    </i>
    <i r="2">
      <x v="56"/>
    </i>
    <i r="2">
      <x v="67"/>
    </i>
    <i>
      <x v="2"/>
    </i>
    <i r="1">
      <x v="1"/>
    </i>
    <i r="2">
      <x v="2"/>
    </i>
    <i r="2">
      <x v="6"/>
    </i>
    <i r="2">
      <x v="55"/>
    </i>
    <i r="2">
      <x v="92"/>
    </i>
    <i r="2">
      <x v="97"/>
    </i>
    <i r="2">
      <x v="98"/>
    </i>
    <i r="1">
      <x v="2"/>
    </i>
    <i r="2">
      <x v="10"/>
    </i>
    <i r="2">
      <x v="49"/>
    </i>
    <i r="2">
      <x v="70"/>
    </i>
    <i r="2">
      <x v="78"/>
    </i>
    <i r="2">
      <x v="90"/>
    </i>
    <i r="1">
      <x v="13"/>
    </i>
    <i r="2">
      <x v="5"/>
    </i>
    <i r="2">
      <x v="12"/>
    </i>
    <i r="2">
      <x v="52"/>
    </i>
    <i r="2">
      <x v="71"/>
    </i>
    <i r="1">
      <x v="15"/>
    </i>
    <i r="2">
      <x v="81"/>
    </i>
    <i r="2">
      <x v="82"/>
    </i>
    <i r="2">
      <x v="83"/>
    </i>
    <i r="2">
      <x v="84"/>
    </i>
    <i r="2">
      <x v="85"/>
    </i>
    <i t="grand">
      <x/>
    </i>
  </rowItems>
  <colFields count="1">
    <field x="3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Count of Application" fld="3" subtotal="count" baseField="0" baseItem="0"/>
  </dataFields>
  <formats count="12">
    <format dxfId="11">
      <pivotArea outline="0" collapsedLevelsAreSubtotals="1" fieldPosition="0">
        <references count="1">
          <reference field="3" count="1" selected="0">
            <x v="2"/>
          </reference>
        </references>
      </pivotArea>
    </format>
    <format dxfId="10">
      <pivotArea type="topRight" dataOnly="0" labelOnly="1" outline="0" offset="B1" fieldPosition="0"/>
    </format>
    <format dxfId="9">
      <pivotArea dataOnly="0" labelOnly="1" fieldPosition="0">
        <references count="1">
          <reference field="3" count="1">
            <x v="2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7"/>
          </reference>
        </references>
      </pivotArea>
    </format>
    <format dxfId="7">
      <pivotArea type="topRight" dataOnly="0" labelOnly="1" outline="0" offset="G1" fieldPosition="0"/>
    </format>
    <format dxfId="6">
      <pivotArea dataOnly="0" labelOnly="1" fieldPosition="0">
        <references count="1">
          <reference field="3" count="1">
            <x v="7"/>
          </reference>
        </references>
      </pivotArea>
    </format>
    <format dxfId="5">
      <pivotArea outline="0" collapsedLevelsAreSubtotals="1" fieldPosition="0">
        <references count="1">
          <reference field="3" count="1" selected="0">
            <x v="0"/>
          </reference>
        </references>
      </pivotArea>
    </format>
    <format dxfId="4">
      <pivotArea field="3" type="button" dataOnly="0" labelOnly="1" outline="0" axis="axisCol" fieldPosition="0"/>
    </format>
    <format dxfId="3">
      <pivotArea dataOnly="0" labelOnly="1" fieldPosition="0">
        <references count="1">
          <reference field="3" count="1">
            <x v="0"/>
          </reference>
        </references>
      </pivotArea>
    </format>
    <format dxfId="2">
      <pivotArea outline="0" collapsedLevelsAreSubtotals="1" fieldPosition="0">
        <references count="1">
          <reference field="3" count="1" selected="0">
            <x v="20"/>
          </reference>
        </references>
      </pivotArea>
    </format>
    <format dxfId="1">
      <pivotArea type="topRight" dataOnly="0" labelOnly="1" outline="0" offset="T1" fieldPosition="0"/>
    </format>
    <format dxfId="0">
      <pivotArea dataOnly="0" labelOnly="1" fieldPosition="0">
        <references count="1">
          <reference field="3" count="1">
            <x v="20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617328-3161-4826-B788-7580D92743A8}" name="Table62" displayName="Table62" ref="A10:E43" totalsRowShown="0">
  <autoFilter ref="A10:E43" xr:uid="{43617328-3161-4826-B788-7580D92743A8}"/>
  <tableColumns count="5">
    <tableColumn id="1" xr3:uid="{F88D7023-007C-47A2-B36D-AB12F9AE06ED}" name="Application"/>
    <tableColumn id="2" xr3:uid="{E6AE8A66-96F6-4243-A980-26003EC1F71C}" name="License" dataDxfId="15"/>
    <tableColumn id="3" xr3:uid="{0CC742E7-3AD3-4119-8803-D3EFD2DBCF7E}" name="Run" dataDxfId="14"/>
    <tableColumn id="4" xr3:uid="{4C8AF563-52F6-467F-B49C-61E1A613D212}" name="Maintenance" dataDxfId="13"/>
    <tableColumn id="5" xr3:uid="{49D680C0-66CD-4551-8F16-AA40E0CC8E72}" name="Costs per App per annum" dataDxfId="12">
      <calculatedColumnFormula>SUM(Table62[[#This Row],[License]:[Maintenance]])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7BC6F-C7A5-42DE-8B15-BCE67846CFAD}" name="Table12" displayName="Table12" ref="A1:C7" totalsRowShown="0">
  <autoFilter ref="A1:C7" xr:uid="{AE17BC6F-C7A5-42DE-8B15-BCE67846CFAD}"/>
  <tableColumns count="3">
    <tableColumn id="1" xr3:uid="{B2666AB8-6F35-473D-98AF-5B4BF58A5F2F}" name="Config Table" dataDxfId="18"/>
    <tableColumn id="2" xr3:uid="{49CBEB5C-51F4-48DE-A53B-52A73CB1F310}" name="Costs" dataDxfId="17"/>
    <tableColumn id="3" xr3:uid="{08F73865-3521-447D-B980-5C94925F1402}" name="Abbreviation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86E2-3C9A-4CA8-AC07-E29C935C24C7}">
  <dimension ref="A1:D171"/>
  <sheetViews>
    <sheetView zoomScale="136" workbookViewId="0">
      <selection activeCell="F146" sqref="F146"/>
    </sheetView>
  </sheetViews>
  <sheetFormatPr baseColWidth="10" defaultColWidth="10.6640625" defaultRowHeight="15" x14ac:dyDescent="0.2"/>
  <cols>
    <col min="1" max="1" width="17" bestFit="1" customWidth="1"/>
    <col min="2" max="2" width="24.6640625" bestFit="1" customWidth="1"/>
    <col min="3" max="3" width="32.5" bestFit="1" customWidth="1"/>
    <col min="4" max="4" width="18.83203125" bestFit="1" customWidth="1"/>
  </cols>
  <sheetData>
    <row r="1" spans="1:4" ht="32" x14ac:dyDescent="0.2">
      <c r="A1" s="8" t="s">
        <v>35</v>
      </c>
      <c r="B1" s="9" t="s">
        <v>0</v>
      </c>
      <c r="C1" s="1" t="s">
        <v>1</v>
      </c>
      <c r="D1" s="2" t="s">
        <v>2</v>
      </c>
    </row>
    <row r="2" spans="1:4" x14ac:dyDescent="0.2">
      <c r="A2" t="s">
        <v>10</v>
      </c>
      <c r="B2" t="s">
        <v>3</v>
      </c>
      <c r="C2" s="6" t="s">
        <v>7</v>
      </c>
      <c r="D2" t="s">
        <v>11</v>
      </c>
    </row>
    <row r="3" spans="1:4" x14ac:dyDescent="0.2">
      <c r="A3" t="s">
        <v>10</v>
      </c>
      <c r="B3" t="s">
        <v>3</v>
      </c>
      <c r="C3" s="6" t="s">
        <v>7</v>
      </c>
      <c r="D3" t="s">
        <v>33</v>
      </c>
    </row>
    <row r="4" spans="1:4" x14ac:dyDescent="0.2">
      <c r="A4" t="s">
        <v>10</v>
      </c>
      <c r="B4" t="s">
        <v>3</v>
      </c>
      <c r="C4" s="6" t="s">
        <v>7</v>
      </c>
      <c r="D4" t="s">
        <v>12</v>
      </c>
    </row>
    <row r="5" spans="1:4" x14ac:dyDescent="0.2">
      <c r="A5" t="s">
        <v>10</v>
      </c>
      <c r="B5" t="s">
        <v>3</v>
      </c>
      <c r="C5" s="6" t="s">
        <v>5</v>
      </c>
      <c r="D5" t="s">
        <v>33</v>
      </c>
    </row>
    <row r="6" spans="1:4" x14ac:dyDescent="0.2">
      <c r="A6" t="s">
        <v>10</v>
      </c>
      <c r="B6" t="s">
        <v>3</v>
      </c>
      <c r="C6" s="6" t="s">
        <v>5</v>
      </c>
      <c r="D6" t="s">
        <v>11</v>
      </c>
    </row>
    <row r="7" spans="1:4" x14ac:dyDescent="0.2">
      <c r="A7" t="s">
        <v>10</v>
      </c>
      <c r="B7" t="s">
        <v>3</v>
      </c>
      <c r="C7" s="6" t="s">
        <v>5</v>
      </c>
      <c r="D7" t="s">
        <v>33</v>
      </c>
    </row>
    <row r="8" spans="1:4" x14ac:dyDescent="0.2">
      <c r="A8" t="s">
        <v>10</v>
      </c>
      <c r="B8" t="s">
        <v>3</v>
      </c>
      <c r="C8" s="6" t="s">
        <v>184</v>
      </c>
      <c r="D8" t="s">
        <v>12</v>
      </c>
    </row>
    <row r="9" spans="1:4" x14ac:dyDescent="0.2">
      <c r="A9" t="s">
        <v>10</v>
      </c>
      <c r="B9" t="s">
        <v>3</v>
      </c>
      <c r="C9" s="6" t="s">
        <v>184</v>
      </c>
      <c r="D9" t="s">
        <v>33</v>
      </c>
    </row>
    <row r="10" spans="1:4" x14ac:dyDescent="0.2">
      <c r="A10" t="s">
        <v>10</v>
      </c>
      <c r="B10" t="s">
        <v>3</v>
      </c>
      <c r="C10" s="6" t="s">
        <v>6</v>
      </c>
      <c r="D10" t="s">
        <v>11</v>
      </c>
    </row>
    <row r="11" spans="1:4" x14ac:dyDescent="0.2">
      <c r="A11" t="s">
        <v>10</v>
      </c>
      <c r="B11" t="s">
        <v>3</v>
      </c>
      <c r="C11" t="s">
        <v>4</v>
      </c>
      <c r="D11" t="s">
        <v>11</v>
      </c>
    </row>
    <row r="12" spans="1:4" x14ac:dyDescent="0.2">
      <c r="A12" t="s">
        <v>10</v>
      </c>
      <c r="B12" t="s">
        <v>3</v>
      </c>
      <c r="C12" t="s">
        <v>8</v>
      </c>
      <c r="D12" t="s">
        <v>12</v>
      </c>
    </row>
    <row r="13" spans="1:4" x14ac:dyDescent="0.2">
      <c r="A13" t="s">
        <v>10</v>
      </c>
      <c r="B13" t="s">
        <v>13</v>
      </c>
      <c r="C13" t="s">
        <v>14</v>
      </c>
      <c r="D13" t="s">
        <v>21</v>
      </c>
    </row>
    <row r="14" spans="1:4" x14ac:dyDescent="0.2">
      <c r="A14" t="s">
        <v>10</v>
      </c>
      <c r="B14" t="s">
        <v>13</v>
      </c>
      <c r="C14" t="s">
        <v>14</v>
      </c>
      <c r="D14" t="s">
        <v>12</v>
      </c>
    </row>
    <row r="15" spans="1:4" x14ac:dyDescent="0.2">
      <c r="A15" t="s">
        <v>10</v>
      </c>
      <c r="B15" t="s">
        <v>13</v>
      </c>
      <c r="C15" t="s">
        <v>15</v>
      </c>
      <c r="D15" t="s">
        <v>12</v>
      </c>
    </row>
    <row r="16" spans="1:4" x14ac:dyDescent="0.2">
      <c r="A16" t="s">
        <v>10</v>
      </c>
      <c r="B16" t="s">
        <v>13</v>
      </c>
      <c r="C16" t="s">
        <v>16</v>
      </c>
      <c r="D16" t="s">
        <v>12</v>
      </c>
    </row>
    <row r="17" spans="1:4" x14ac:dyDescent="0.2">
      <c r="A17" t="s">
        <v>10</v>
      </c>
      <c r="B17" t="s">
        <v>13</v>
      </c>
      <c r="C17" t="s">
        <v>17</v>
      </c>
      <c r="D17" t="s">
        <v>12</v>
      </c>
    </row>
    <row r="18" spans="1:4" x14ac:dyDescent="0.2">
      <c r="A18" t="s">
        <v>10</v>
      </c>
      <c r="B18" t="s">
        <v>13</v>
      </c>
      <c r="C18" t="s">
        <v>18</v>
      </c>
      <c r="D18" t="s">
        <v>12</v>
      </c>
    </row>
    <row r="19" spans="1:4" x14ac:dyDescent="0.2">
      <c r="A19" t="s">
        <v>10</v>
      </c>
      <c r="B19" t="s">
        <v>19</v>
      </c>
      <c r="C19" t="s">
        <v>20</v>
      </c>
      <c r="D19" t="s">
        <v>21</v>
      </c>
    </row>
    <row r="20" spans="1:4" x14ac:dyDescent="0.2">
      <c r="A20" t="s">
        <v>10</v>
      </c>
      <c r="B20" t="s">
        <v>19</v>
      </c>
      <c r="C20" t="s">
        <v>20</v>
      </c>
      <c r="D20" t="s">
        <v>12</v>
      </c>
    </row>
    <row r="21" spans="1:4" x14ac:dyDescent="0.2">
      <c r="A21" t="s">
        <v>10</v>
      </c>
      <c r="B21" t="s">
        <v>19</v>
      </c>
      <c r="C21" t="s">
        <v>23</v>
      </c>
      <c r="D21" t="s">
        <v>12</v>
      </c>
    </row>
    <row r="22" spans="1:4" x14ac:dyDescent="0.2">
      <c r="A22" t="s">
        <v>10</v>
      </c>
      <c r="B22" t="s">
        <v>19</v>
      </c>
      <c r="C22" t="s">
        <v>22</v>
      </c>
      <c r="D22" t="s">
        <v>27</v>
      </c>
    </row>
    <row r="23" spans="1:4" x14ac:dyDescent="0.2">
      <c r="A23" t="s">
        <v>10</v>
      </c>
      <c r="B23" t="s">
        <v>19</v>
      </c>
      <c r="C23" t="s">
        <v>22</v>
      </c>
      <c r="D23" t="s">
        <v>38</v>
      </c>
    </row>
    <row r="24" spans="1:4" x14ac:dyDescent="0.2">
      <c r="A24" t="s">
        <v>10</v>
      </c>
      <c r="B24" t="s">
        <v>19</v>
      </c>
      <c r="C24" t="s">
        <v>22</v>
      </c>
      <c r="D24" t="s">
        <v>26</v>
      </c>
    </row>
    <row r="25" spans="1:4" x14ac:dyDescent="0.2">
      <c r="A25" t="s">
        <v>10</v>
      </c>
      <c r="B25" t="s">
        <v>19</v>
      </c>
      <c r="C25" t="s">
        <v>24</v>
      </c>
      <c r="D25" t="s">
        <v>12</v>
      </c>
    </row>
    <row r="26" spans="1:4" x14ac:dyDescent="0.2">
      <c r="A26" t="s">
        <v>10</v>
      </c>
      <c r="B26" t="s">
        <v>19</v>
      </c>
      <c r="C26" t="s">
        <v>25</v>
      </c>
      <c r="D26" t="s">
        <v>12</v>
      </c>
    </row>
    <row r="27" spans="1:4" x14ac:dyDescent="0.2">
      <c r="A27" t="s">
        <v>10</v>
      </c>
      <c r="B27" t="s">
        <v>28</v>
      </c>
      <c r="C27" t="s">
        <v>29</v>
      </c>
      <c r="D27" t="s">
        <v>33</v>
      </c>
    </row>
    <row r="28" spans="1:4" x14ac:dyDescent="0.2">
      <c r="A28" t="s">
        <v>10</v>
      </c>
      <c r="B28" t="s">
        <v>28</v>
      </c>
      <c r="C28" t="s">
        <v>29</v>
      </c>
      <c r="D28" t="s">
        <v>11</v>
      </c>
    </row>
    <row r="29" spans="1:4" x14ac:dyDescent="0.2">
      <c r="A29" t="s">
        <v>10</v>
      </c>
      <c r="B29" t="s">
        <v>28</v>
      </c>
      <c r="C29" t="s">
        <v>30</v>
      </c>
      <c r="D29" t="s">
        <v>33</v>
      </c>
    </row>
    <row r="30" spans="1:4" x14ac:dyDescent="0.2">
      <c r="A30" t="s">
        <v>10</v>
      </c>
      <c r="B30" t="s">
        <v>28</v>
      </c>
      <c r="C30" t="s">
        <v>30</v>
      </c>
      <c r="D30" t="s">
        <v>11</v>
      </c>
    </row>
    <row r="31" spans="1:4" x14ac:dyDescent="0.2">
      <c r="A31" t="s">
        <v>10</v>
      </c>
      <c r="B31" t="s">
        <v>28</v>
      </c>
      <c r="C31" t="s">
        <v>31</v>
      </c>
      <c r="D31" t="s">
        <v>33</v>
      </c>
    </row>
    <row r="32" spans="1:4" x14ac:dyDescent="0.2">
      <c r="A32" t="s">
        <v>10</v>
      </c>
      <c r="B32" t="s">
        <v>28</v>
      </c>
      <c r="C32" t="s">
        <v>31</v>
      </c>
      <c r="D32" t="s">
        <v>27</v>
      </c>
    </row>
    <row r="33" spans="1:4" x14ac:dyDescent="0.2">
      <c r="A33" t="s">
        <v>10</v>
      </c>
      <c r="B33" t="s">
        <v>28</v>
      </c>
      <c r="C33" t="s">
        <v>31</v>
      </c>
      <c r="D33" t="s">
        <v>11</v>
      </c>
    </row>
    <row r="34" spans="1:4" x14ac:dyDescent="0.2">
      <c r="A34" t="s">
        <v>10</v>
      </c>
      <c r="B34" t="s">
        <v>28</v>
      </c>
      <c r="C34" t="s">
        <v>32</v>
      </c>
      <c r="D34" t="s">
        <v>33</v>
      </c>
    </row>
    <row r="35" spans="1:4" x14ac:dyDescent="0.2">
      <c r="A35" t="s">
        <v>10</v>
      </c>
      <c r="B35" t="s">
        <v>28</v>
      </c>
      <c r="C35" t="s">
        <v>32</v>
      </c>
      <c r="D35" t="s">
        <v>11</v>
      </c>
    </row>
    <row r="36" spans="1:4" x14ac:dyDescent="0.2">
      <c r="A36" t="s">
        <v>10</v>
      </c>
      <c r="B36" t="s">
        <v>28</v>
      </c>
      <c r="C36" t="s">
        <v>32</v>
      </c>
      <c r="D36" t="s">
        <v>12</v>
      </c>
    </row>
    <row r="37" spans="1:4" x14ac:dyDescent="0.2">
      <c r="A37" t="s">
        <v>34</v>
      </c>
      <c r="B37" t="s">
        <v>36</v>
      </c>
      <c r="C37" t="s">
        <v>37</v>
      </c>
      <c r="D37" t="s">
        <v>26</v>
      </c>
    </row>
    <row r="38" spans="1:4" x14ac:dyDescent="0.2">
      <c r="A38" t="s">
        <v>34</v>
      </c>
      <c r="B38" t="s">
        <v>36</v>
      </c>
      <c r="C38" t="s">
        <v>37</v>
      </c>
      <c r="D38" t="s">
        <v>38</v>
      </c>
    </row>
    <row r="39" spans="1:4" x14ac:dyDescent="0.2">
      <c r="A39" t="s">
        <v>34</v>
      </c>
      <c r="B39" t="s">
        <v>36</v>
      </c>
      <c r="C39" t="s">
        <v>39</v>
      </c>
      <c r="D39" t="s">
        <v>26</v>
      </c>
    </row>
    <row r="40" spans="1:4" x14ac:dyDescent="0.2">
      <c r="A40" t="s">
        <v>34</v>
      </c>
      <c r="B40" t="s">
        <v>36</v>
      </c>
      <c r="C40" t="s">
        <v>41</v>
      </c>
      <c r="D40" t="s">
        <v>26</v>
      </c>
    </row>
    <row r="41" spans="1:4" x14ac:dyDescent="0.2">
      <c r="A41" t="s">
        <v>34</v>
      </c>
      <c r="B41" t="s">
        <v>36</v>
      </c>
      <c r="C41" t="s">
        <v>41</v>
      </c>
      <c r="D41" t="s">
        <v>38</v>
      </c>
    </row>
    <row r="42" spans="1:4" x14ac:dyDescent="0.2">
      <c r="A42" t="s">
        <v>34</v>
      </c>
      <c r="B42" t="s">
        <v>36</v>
      </c>
      <c r="C42" t="s">
        <v>40</v>
      </c>
      <c r="D42" t="s">
        <v>26</v>
      </c>
    </row>
    <row r="43" spans="1:4" x14ac:dyDescent="0.2">
      <c r="A43" t="s">
        <v>34</v>
      </c>
      <c r="B43" t="s">
        <v>36</v>
      </c>
      <c r="C43" t="s">
        <v>42</v>
      </c>
      <c r="D43" t="s">
        <v>26</v>
      </c>
    </row>
    <row r="44" spans="1:4" x14ac:dyDescent="0.2">
      <c r="A44" t="s">
        <v>34</v>
      </c>
      <c r="B44" t="s">
        <v>36</v>
      </c>
      <c r="C44" t="s">
        <v>42</v>
      </c>
      <c r="D44" t="s">
        <v>38</v>
      </c>
    </row>
    <row r="45" spans="1:4" x14ac:dyDescent="0.2">
      <c r="A45" t="s">
        <v>34</v>
      </c>
      <c r="B45" t="s">
        <v>36</v>
      </c>
      <c r="C45" t="s">
        <v>43</v>
      </c>
      <c r="D45" t="s">
        <v>26</v>
      </c>
    </row>
    <row r="46" spans="1:4" x14ac:dyDescent="0.2">
      <c r="A46" t="s">
        <v>34</v>
      </c>
      <c r="B46" t="s">
        <v>36</v>
      </c>
      <c r="C46" t="s">
        <v>43</v>
      </c>
      <c r="D46" t="s">
        <v>38</v>
      </c>
    </row>
    <row r="47" spans="1:4" x14ac:dyDescent="0.2">
      <c r="A47" t="s">
        <v>34</v>
      </c>
      <c r="B47" t="s">
        <v>44</v>
      </c>
      <c r="C47" t="s">
        <v>45</v>
      </c>
      <c r="D47" t="s">
        <v>46</v>
      </c>
    </row>
    <row r="48" spans="1:4" x14ac:dyDescent="0.2">
      <c r="A48" t="s">
        <v>34</v>
      </c>
      <c r="B48" t="s">
        <v>44</v>
      </c>
      <c r="C48" t="s">
        <v>45</v>
      </c>
      <c r="D48" t="s">
        <v>47</v>
      </c>
    </row>
    <row r="49" spans="1:4" x14ac:dyDescent="0.2">
      <c r="A49" t="s">
        <v>34</v>
      </c>
      <c r="B49" t="s">
        <v>44</v>
      </c>
      <c r="C49" t="s">
        <v>45</v>
      </c>
      <c r="D49" t="s">
        <v>163</v>
      </c>
    </row>
    <row r="50" spans="1:4" x14ac:dyDescent="0.2">
      <c r="A50" t="s">
        <v>34</v>
      </c>
      <c r="B50" t="s">
        <v>44</v>
      </c>
      <c r="C50" t="s">
        <v>48</v>
      </c>
      <c r="D50" t="s">
        <v>46</v>
      </c>
    </row>
    <row r="51" spans="1:4" x14ac:dyDescent="0.2">
      <c r="A51" t="s">
        <v>34</v>
      </c>
      <c r="B51" t="s">
        <v>44</v>
      </c>
      <c r="C51" t="s">
        <v>48</v>
      </c>
      <c r="D51" t="s">
        <v>47</v>
      </c>
    </row>
    <row r="52" spans="1:4" x14ac:dyDescent="0.2">
      <c r="A52" t="s">
        <v>34</v>
      </c>
      <c r="B52" t="s">
        <v>44</v>
      </c>
      <c r="C52" t="s">
        <v>48</v>
      </c>
      <c r="D52" t="s">
        <v>163</v>
      </c>
    </row>
    <row r="53" spans="1:4" x14ac:dyDescent="0.2">
      <c r="A53" t="s">
        <v>34</v>
      </c>
      <c r="B53" t="s">
        <v>44</v>
      </c>
      <c r="C53" t="s">
        <v>49</v>
      </c>
      <c r="D53" t="s">
        <v>46</v>
      </c>
    </row>
    <row r="54" spans="1:4" x14ac:dyDescent="0.2">
      <c r="A54" t="s">
        <v>34</v>
      </c>
      <c r="B54" t="s">
        <v>44</v>
      </c>
      <c r="C54" t="s">
        <v>50</v>
      </c>
      <c r="D54" t="s">
        <v>51</v>
      </c>
    </row>
    <row r="55" spans="1:4" x14ac:dyDescent="0.2">
      <c r="A55" t="s">
        <v>34</v>
      </c>
      <c r="B55" t="s">
        <v>44</v>
      </c>
      <c r="C55" t="s">
        <v>50</v>
      </c>
      <c r="D55" t="s">
        <v>47</v>
      </c>
    </row>
    <row r="56" spans="1:4" x14ac:dyDescent="0.2">
      <c r="A56" t="s">
        <v>34</v>
      </c>
      <c r="B56" t="s">
        <v>52</v>
      </c>
      <c r="C56" t="s">
        <v>53</v>
      </c>
      <c r="D56" t="s">
        <v>21</v>
      </c>
    </row>
    <row r="57" spans="1:4" x14ac:dyDescent="0.2">
      <c r="A57" t="s">
        <v>34</v>
      </c>
      <c r="B57" t="s">
        <v>52</v>
      </c>
      <c r="C57" t="s">
        <v>55</v>
      </c>
      <c r="D57" t="s">
        <v>21</v>
      </c>
    </row>
    <row r="58" spans="1:4" x14ac:dyDescent="0.2">
      <c r="A58" t="s">
        <v>34</v>
      </c>
      <c r="B58" t="s">
        <v>52</v>
      </c>
      <c r="C58" t="s">
        <v>55</v>
      </c>
      <c r="D58" t="s">
        <v>51</v>
      </c>
    </row>
    <row r="59" spans="1:4" x14ac:dyDescent="0.2">
      <c r="A59" t="s">
        <v>34</v>
      </c>
      <c r="B59" t="s">
        <v>52</v>
      </c>
      <c r="C59" t="s">
        <v>55</v>
      </c>
      <c r="D59" t="s">
        <v>163</v>
      </c>
    </row>
    <row r="60" spans="1:4" x14ac:dyDescent="0.2">
      <c r="A60" t="s">
        <v>34</v>
      </c>
      <c r="B60" t="s">
        <v>52</v>
      </c>
      <c r="C60" t="s">
        <v>56</v>
      </c>
      <c r="D60" t="s">
        <v>51</v>
      </c>
    </row>
    <row r="61" spans="1:4" x14ac:dyDescent="0.2">
      <c r="A61" t="s">
        <v>34</v>
      </c>
      <c r="B61" t="s">
        <v>52</v>
      </c>
      <c r="C61" t="s">
        <v>56</v>
      </c>
      <c r="D61" t="s">
        <v>21</v>
      </c>
    </row>
    <row r="62" spans="1:4" x14ac:dyDescent="0.2">
      <c r="A62" t="s">
        <v>34</v>
      </c>
      <c r="B62" t="s">
        <v>52</v>
      </c>
      <c r="C62" t="s">
        <v>56</v>
      </c>
      <c r="D62" t="s">
        <v>163</v>
      </c>
    </row>
    <row r="63" spans="1:4" x14ac:dyDescent="0.2">
      <c r="A63" t="s">
        <v>34</v>
      </c>
      <c r="B63" t="s">
        <v>52</v>
      </c>
      <c r="C63" t="s">
        <v>57</v>
      </c>
      <c r="D63" t="s">
        <v>26</v>
      </c>
    </row>
    <row r="64" spans="1:4" x14ac:dyDescent="0.2">
      <c r="A64" t="s">
        <v>34</v>
      </c>
      <c r="B64" t="s">
        <v>52</v>
      </c>
      <c r="C64" t="s">
        <v>57</v>
      </c>
      <c r="D64" t="s">
        <v>21</v>
      </c>
    </row>
    <row r="65" spans="1:4" x14ac:dyDescent="0.2">
      <c r="A65" t="s">
        <v>34</v>
      </c>
      <c r="B65" t="s">
        <v>52</v>
      </c>
      <c r="C65" t="s">
        <v>58</v>
      </c>
      <c r="D65" t="s">
        <v>21</v>
      </c>
    </row>
    <row r="66" spans="1:4" x14ac:dyDescent="0.2">
      <c r="A66" t="s">
        <v>34</v>
      </c>
      <c r="B66" t="s">
        <v>59</v>
      </c>
      <c r="C66" t="s">
        <v>60</v>
      </c>
      <c r="D66" t="s">
        <v>65</v>
      </c>
    </row>
    <row r="67" spans="1:4" x14ac:dyDescent="0.2">
      <c r="A67" t="s">
        <v>34</v>
      </c>
      <c r="B67" t="s">
        <v>59</v>
      </c>
      <c r="C67" t="s">
        <v>61</v>
      </c>
      <c r="D67" t="s">
        <v>33</v>
      </c>
    </row>
    <row r="68" spans="1:4" x14ac:dyDescent="0.2">
      <c r="A68" t="s">
        <v>34</v>
      </c>
      <c r="B68" t="s">
        <v>59</v>
      </c>
      <c r="C68" t="s">
        <v>61</v>
      </c>
      <c r="D68" t="s">
        <v>65</v>
      </c>
    </row>
    <row r="69" spans="1:4" x14ac:dyDescent="0.2">
      <c r="A69" t="s">
        <v>34</v>
      </c>
      <c r="B69" t="s">
        <v>59</v>
      </c>
      <c r="C69" t="s">
        <v>62</v>
      </c>
      <c r="D69" t="s">
        <v>65</v>
      </c>
    </row>
    <row r="70" spans="1:4" x14ac:dyDescent="0.2">
      <c r="A70" t="s">
        <v>34</v>
      </c>
      <c r="B70" t="s">
        <v>59</v>
      </c>
      <c r="C70" t="s">
        <v>63</v>
      </c>
      <c r="D70" t="s">
        <v>65</v>
      </c>
    </row>
    <row r="71" spans="1:4" x14ac:dyDescent="0.2">
      <c r="A71" t="s">
        <v>34</v>
      </c>
      <c r="B71" t="s">
        <v>59</v>
      </c>
      <c r="C71" t="s">
        <v>64</v>
      </c>
      <c r="D71" t="s">
        <v>33</v>
      </c>
    </row>
    <row r="72" spans="1:4" x14ac:dyDescent="0.2">
      <c r="A72" t="s">
        <v>34</v>
      </c>
      <c r="B72" t="s">
        <v>59</v>
      </c>
      <c r="C72" t="s">
        <v>64</v>
      </c>
      <c r="D72" t="s">
        <v>65</v>
      </c>
    </row>
    <row r="73" spans="1:4" x14ac:dyDescent="0.2">
      <c r="A73" t="s">
        <v>34</v>
      </c>
      <c r="B73" t="s">
        <v>66</v>
      </c>
      <c r="C73" t="s">
        <v>67</v>
      </c>
      <c r="D73" t="s">
        <v>72</v>
      </c>
    </row>
    <row r="74" spans="1:4" x14ac:dyDescent="0.2">
      <c r="A74" t="s">
        <v>34</v>
      </c>
      <c r="B74" t="s">
        <v>66</v>
      </c>
      <c r="C74" t="s">
        <v>68</v>
      </c>
      <c r="D74" t="s">
        <v>72</v>
      </c>
    </row>
    <row r="75" spans="1:4" x14ac:dyDescent="0.2">
      <c r="A75" t="s">
        <v>34</v>
      </c>
      <c r="B75" t="s">
        <v>66</v>
      </c>
      <c r="C75" t="s">
        <v>68</v>
      </c>
      <c r="D75" t="s">
        <v>51</v>
      </c>
    </row>
    <row r="76" spans="1:4" x14ac:dyDescent="0.2">
      <c r="A76" t="s">
        <v>34</v>
      </c>
      <c r="B76" t="s">
        <v>66</v>
      </c>
      <c r="C76" t="s">
        <v>69</v>
      </c>
      <c r="D76" t="s">
        <v>72</v>
      </c>
    </row>
    <row r="77" spans="1:4" x14ac:dyDescent="0.2">
      <c r="A77" t="s">
        <v>34</v>
      </c>
      <c r="B77" t="s">
        <v>66</v>
      </c>
      <c r="C77" t="s">
        <v>70</v>
      </c>
      <c r="D77" t="s">
        <v>72</v>
      </c>
    </row>
    <row r="78" spans="1:4" x14ac:dyDescent="0.2">
      <c r="A78" t="s">
        <v>34</v>
      </c>
      <c r="B78" t="s">
        <v>66</v>
      </c>
      <c r="C78" t="s">
        <v>70</v>
      </c>
      <c r="D78" t="s">
        <v>51</v>
      </c>
    </row>
    <row r="79" spans="1:4" x14ac:dyDescent="0.2">
      <c r="A79" t="s">
        <v>34</v>
      </c>
      <c r="B79" t="s">
        <v>66</v>
      </c>
      <c r="C79" t="s">
        <v>71</v>
      </c>
      <c r="D79" t="s">
        <v>51</v>
      </c>
    </row>
    <row r="80" spans="1:4" x14ac:dyDescent="0.2">
      <c r="A80" t="s">
        <v>34</v>
      </c>
      <c r="B80" t="s">
        <v>66</v>
      </c>
      <c r="C80" t="s">
        <v>71</v>
      </c>
      <c r="D80" t="s">
        <v>73</v>
      </c>
    </row>
    <row r="81" spans="1:4" x14ac:dyDescent="0.2">
      <c r="A81" t="s">
        <v>34</v>
      </c>
      <c r="B81" t="s">
        <v>74</v>
      </c>
      <c r="C81" t="s">
        <v>75</v>
      </c>
      <c r="D81" t="s">
        <v>73</v>
      </c>
    </row>
    <row r="82" spans="1:4" x14ac:dyDescent="0.2">
      <c r="A82" t="s">
        <v>34</v>
      </c>
      <c r="B82" t="s">
        <v>74</v>
      </c>
      <c r="C82" t="s">
        <v>76</v>
      </c>
      <c r="D82" t="s">
        <v>72</v>
      </c>
    </row>
    <row r="83" spans="1:4" x14ac:dyDescent="0.2">
      <c r="A83" t="s">
        <v>34</v>
      </c>
      <c r="B83" t="s">
        <v>74</v>
      </c>
      <c r="C83" t="s">
        <v>76</v>
      </c>
      <c r="D83" t="s">
        <v>73</v>
      </c>
    </row>
    <row r="84" spans="1:4" x14ac:dyDescent="0.2">
      <c r="A84" t="s">
        <v>34</v>
      </c>
      <c r="B84" t="s">
        <v>74</v>
      </c>
      <c r="C84" t="s">
        <v>77</v>
      </c>
      <c r="D84" t="s">
        <v>72</v>
      </c>
    </row>
    <row r="85" spans="1:4" x14ac:dyDescent="0.2">
      <c r="A85" t="s">
        <v>34</v>
      </c>
      <c r="B85" t="s">
        <v>74</v>
      </c>
      <c r="C85" t="s">
        <v>78</v>
      </c>
      <c r="D85" t="s">
        <v>72</v>
      </c>
    </row>
    <row r="86" spans="1:4" x14ac:dyDescent="0.2">
      <c r="A86" t="s">
        <v>34</v>
      </c>
      <c r="B86" t="s">
        <v>79</v>
      </c>
      <c r="C86" t="s">
        <v>80</v>
      </c>
      <c r="D86" t="s">
        <v>46</v>
      </c>
    </row>
    <row r="87" spans="1:4" x14ac:dyDescent="0.2">
      <c r="A87" t="s">
        <v>34</v>
      </c>
      <c r="B87" t="s">
        <v>79</v>
      </c>
      <c r="C87" t="s">
        <v>80</v>
      </c>
      <c r="D87" t="s">
        <v>21</v>
      </c>
    </row>
    <row r="88" spans="1:4" x14ac:dyDescent="0.2">
      <c r="A88" t="s">
        <v>34</v>
      </c>
      <c r="B88" t="s">
        <v>79</v>
      </c>
      <c r="C88" t="s">
        <v>81</v>
      </c>
      <c r="D88" t="s">
        <v>46</v>
      </c>
    </row>
    <row r="89" spans="1:4" x14ac:dyDescent="0.2">
      <c r="A89" t="s">
        <v>34</v>
      </c>
      <c r="B89" t="s">
        <v>79</v>
      </c>
      <c r="C89" t="s">
        <v>81</v>
      </c>
      <c r="D89" t="s">
        <v>21</v>
      </c>
    </row>
    <row r="90" spans="1:4" x14ac:dyDescent="0.2">
      <c r="A90" t="s">
        <v>34</v>
      </c>
      <c r="B90" t="s">
        <v>79</v>
      </c>
      <c r="C90" t="s">
        <v>82</v>
      </c>
      <c r="D90" t="s">
        <v>46</v>
      </c>
    </row>
    <row r="91" spans="1:4" x14ac:dyDescent="0.2">
      <c r="A91" t="s">
        <v>34</v>
      </c>
      <c r="B91" t="s">
        <v>79</v>
      </c>
      <c r="C91" t="s">
        <v>82</v>
      </c>
      <c r="D91" t="s">
        <v>47</v>
      </c>
    </row>
    <row r="92" spans="1:4" x14ac:dyDescent="0.2">
      <c r="A92" t="s">
        <v>34</v>
      </c>
      <c r="B92" t="s">
        <v>79</v>
      </c>
      <c r="C92" t="s">
        <v>82</v>
      </c>
      <c r="D92" t="s">
        <v>21</v>
      </c>
    </row>
    <row r="93" spans="1:4" x14ac:dyDescent="0.2">
      <c r="A93" t="s">
        <v>34</v>
      </c>
      <c r="B93" t="s">
        <v>79</v>
      </c>
      <c r="C93" t="s">
        <v>83</v>
      </c>
      <c r="D93" t="s">
        <v>46</v>
      </c>
    </row>
    <row r="94" spans="1:4" x14ac:dyDescent="0.2">
      <c r="A94" t="s">
        <v>34</v>
      </c>
      <c r="B94" t="s">
        <v>79</v>
      </c>
      <c r="C94" t="s">
        <v>83</v>
      </c>
      <c r="D94" t="s">
        <v>21</v>
      </c>
    </row>
    <row r="95" spans="1:4" x14ac:dyDescent="0.2">
      <c r="A95" t="s">
        <v>34</v>
      </c>
      <c r="B95" t="s">
        <v>79</v>
      </c>
      <c r="C95" t="s">
        <v>84</v>
      </c>
      <c r="D95" t="s">
        <v>46</v>
      </c>
    </row>
    <row r="96" spans="1:4" x14ac:dyDescent="0.2">
      <c r="A96" t="s">
        <v>34</v>
      </c>
      <c r="B96" t="s">
        <v>79</v>
      </c>
      <c r="C96" t="s">
        <v>84</v>
      </c>
      <c r="D96" t="s">
        <v>47</v>
      </c>
    </row>
    <row r="97" spans="1:4" x14ac:dyDescent="0.2">
      <c r="A97" t="s">
        <v>34</v>
      </c>
      <c r="B97" t="s">
        <v>79</v>
      </c>
      <c r="C97" t="s">
        <v>84</v>
      </c>
      <c r="D97" t="s">
        <v>21</v>
      </c>
    </row>
    <row r="98" spans="1:4" x14ac:dyDescent="0.2">
      <c r="A98" t="s">
        <v>34</v>
      </c>
      <c r="B98" t="s">
        <v>85</v>
      </c>
      <c r="C98" t="s">
        <v>86</v>
      </c>
      <c r="D98" t="s">
        <v>91</v>
      </c>
    </row>
    <row r="99" spans="1:4" x14ac:dyDescent="0.2">
      <c r="A99" t="s">
        <v>34</v>
      </c>
      <c r="B99" t="s">
        <v>85</v>
      </c>
      <c r="C99" t="s">
        <v>87</v>
      </c>
      <c r="D99" t="s">
        <v>91</v>
      </c>
    </row>
    <row r="100" spans="1:4" x14ac:dyDescent="0.2">
      <c r="A100" t="s">
        <v>34</v>
      </c>
      <c r="B100" t="s">
        <v>85</v>
      </c>
      <c r="C100" t="s">
        <v>88</v>
      </c>
      <c r="D100" t="s">
        <v>91</v>
      </c>
    </row>
    <row r="101" spans="1:4" x14ac:dyDescent="0.2">
      <c r="A101" t="s">
        <v>34</v>
      </c>
      <c r="B101" t="s">
        <v>85</v>
      </c>
      <c r="C101" t="s">
        <v>89</v>
      </c>
      <c r="D101" t="s">
        <v>91</v>
      </c>
    </row>
    <row r="102" spans="1:4" x14ac:dyDescent="0.2">
      <c r="A102" t="s">
        <v>34</v>
      </c>
      <c r="B102" t="s">
        <v>85</v>
      </c>
      <c r="C102" t="s">
        <v>90</v>
      </c>
      <c r="D102" t="s">
        <v>91</v>
      </c>
    </row>
    <row r="103" spans="1:4" x14ac:dyDescent="0.2">
      <c r="A103" t="s">
        <v>34</v>
      </c>
      <c r="B103" t="s">
        <v>92</v>
      </c>
      <c r="C103" t="s">
        <v>93</v>
      </c>
      <c r="D103" t="s">
        <v>33</v>
      </c>
    </row>
    <row r="104" spans="1:4" x14ac:dyDescent="0.2">
      <c r="A104" t="s">
        <v>34</v>
      </c>
      <c r="B104" t="s">
        <v>92</v>
      </c>
      <c r="C104" t="s">
        <v>94</v>
      </c>
      <c r="D104" t="s">
        <v>33</v>
      </c>
    </row>
    <row r="105" spans="1:4" x14ac:dyDescent="0.2">
      <c r="A105" t="s">
        <v>34</v>
      </c>
      <c r="B105" t="s">
        <v>92</v>
      </c>
      <c r="C105" t="s">
        <v>95</v>
      </c>
      <c r="D105" t="s">
        <v>91</v>
      </c>
    </row>
    <row r="106" spans="1:4" x14ac:dyDescent="0.2">
      <c r="A106" t="s">
        <v>34</v>
      </c>
      <c r="B106" t="s">
        <v>96</v>
      </c>
      <c r="C106" t="s">
        <v>97</v>
      </c>
      <c r="D106" t="s">
        <v>47</v>
      </c>
    </row>
    <row r="107" spans="1:4" x14ac:dyDescent="0.2">
      <c r="A107" t="s">
        <v>34</v>
      </c>
      <c r="B107" t="s">
        <v>96</v>
      </c>
      <c r="C107" t="s">
        <v>97</v>
      </c>
      <c r="D107" t="s">
        <v>163</v>
      </c>
    </row>
    <row r="108" spans="1:4" x14ac:dyDescent="0.2">
      <c r="A108" t="s">
        <v>34</v>
      </c>
      <c r="B108" t="s">
        <v>96</v>
      </c>
      <c r="C108" t="s">
        <v>98</v>
      </c>
      <c r="D108" t="s">
        <v>47</v>
      </c>
    </row>
    <row r="109" spans="1:4" x14ac:dyDescent="0.2">
      <c r="A109" t="s">
        <v>34</v>
      </c>
      <c r="B109" t="s">
        <v>96</v>
      </c>
      <c r="C109" t="s">
        <v>99</v>
      </c>
      <c r="D109" t="s">
        <v>47</v>
      </c>
    </row>
    <row r="110" spans="1:4" x14ac:dyDescent="0.2">
      <c r="A110" t="s">
        <v>34</v>
      </c>
      <c r="B110" t="s">
        <v>96</v>
      </c>
      <c r="C110" t="s">
        <v>99</v>
      </c>
      <c r="D110" t="s">
        <v>163</v>
      </c>
    </row>
    <row r="111" spans="1:4" x14ac:dyDescent="0.2">
      <c r="A111" t="s">
        <v>34</v>
      </c>
      <c r="B111" t="s">
        <v>96</v>
      </c>
      <c r="C111" t="s">
        <v>100</v>
      </c>
      <c r="D111" t="s">
        <v>46</v>
      </c>
    </row>
    <row r="112" spans="1:4" x14ac:dyDescent="0.2">
      <c r="A112" t="s">
        <v>34</v>
      </c>
      <c r="B112" t="s">
        <v>96</v>
      </c>
      <c r="C112" t="s">
        <v>100</v>
      </c>
      <c r="D112" t="s">
        <v>47</v>
      </c>
    </row>
    <row r="113" spans="1:4" x14ac:dyDescent="0.2">
      <c r="A113" t="s">
        <v>34</v>
      </c>
      <c r="B113" t="s">
        <v>96</v>
      </c>
      <c r="C113" t="s">
        <v>100</v>
      </c>
      <c r="D113" t="s">
        <v>163</v>
      </c>
    </row>
    <row r="114" spans="1:4" x14ac:dyDescent="0.2">
      <c r="A114" t="s">
        <v>34</v>
      </c>
      <c r="B114" t="s">
        <v>101</v>
      </c>
      <c r="C114" t="s">
        <v>102</v>
      </c>
      <c r="D114" t="s">
        <v>65</v>
      </c>
    </row>
    <row r="115" spans="1:4" x14ac:dyDescent="0.2">
      <c r="A115" t="s">
        <v>34</v>
      </c>
      <c r="B115" t="s">
        <v>101</v>
      </c>
      <c r="C115" t="s">
        <v>102</v>
      </c>
      <c r="D115" t="s">
        <v>91</v>
      </c>
    </row>
    <row r="116" spans="1:4" x14ac:dyDescent="0.2">
      <c r="A116" t="s">
        <v>34</v>
      </c>
      <c r="B116" t="s">
        <v>101</v>
      </c>
      <c r="C116" t="s">
        <v>103</v>
      </c>
      <c r="D116" t="s">
        <v>65</v>
      </c>
    </row>
    <row r="117" spans="1:4" x14ac:dyDescent="0.2">
      <c r="A117" t="s">
        <v>34</v>
      </c>
      <c r="B117" t="s">
        <v>101</v>
      </c>
      <c r="C117" t="s">
        <v>103</v>
      </c>
      <c r="D117" t="s">
        <v>91</v>
      </c>
    </row>
    <row r="118" spans="1:4" x14ac:dyDescent="0.2">
      <c r="A118" t="s">
        <v>34</v>
      </c>
      <c r="B118" t="s">
        <v>101</v>
      </c>
      <c r="C118" t="s">
        <v>104</v>
      </c>
      <c r="D118" t="s">
        <v>91</v>
      </c>
    </row>
    <row r="119" spans="1:4" x14ac:dyDescent="0.2">
      <c r="A119" t="s">
        <v>34</v>
      </c>
      <c r="B119" t="s">
        <v>101</v>
      </c>
      <c r="C119" t="s">
        <v>105</v>
      </c>
      <c r="D119" t="s">
        <v>65</v>
      </c>
    </row>
    <row r="120" spans="1:4" x14ac:dyDescent="0.2">
      <c r="A120" t="s">
        <v>34</v>
      </c>
      <c r="B120" t="s">
        <v>101</v>
      </c>
      <c r="C120" t="s">
        <v>105</v>
      </c>
      <c r="D120" t="s">
        <v>91</v>
      </c>
    </row>
    <row r="121" spans="1:4" x14ac:dyDescent="0.2">
      <c r="A121" t="s">
        <v>34</v>
      </c>
      <c r="B121" t="s">
        <v>101</v>
      </c>
      <c r="C121" t="s">
        <v>106</v>
      </c>
      <c r="D121" t="s">
        <v>65</v>
      </c>
    </row>
    <row r="122" spans="1:4" x14ac:dyDescent="0.2">
      <c r="A122" t="s">
        <v>34</v>
      </c>
      <c r="B122" t="s">
        <v>101</v>
      </c>
      <c r="C122" t="s">
        <v>106</v>
      </c>
      <c r="D122" t="s">
        <v>91</v>
      </c>
    </row>
    <row r="123" spans="1:4" x14ac:dyDescent="0.2">
      <c r="A123" t="s">
        <v>107</v>
      </c>
      <c r="B123" t="s">
        <v>108</v>
      </c>
      <c r="C123" t="s">
        <v>109</v>
      </c>
      <c r="D123" t="s">
        <v>116</v>
      </c>
    </row>
    <row r="124" spans="1:4" x14ac:dyDescent="0.2">
      <c r="A124" t="s">
        <v>107</v>
      </c>
      <c r="B124" t="s">
        <v>108</v>
      </c>
      <c r="C124" t="s">
        <v>110</v>
      </c>
      <c r="D124" t="s">
        <v>116</v>
      </c>
    </row>
    <row r="125" spans="1:4" x14ac:dyDescent="0.2">
      <c r="A125" t="s">
        <v>107</v>
      </c>
      <c r="B125" t="s">
        <v>108</v>
      </c>
      <c r="C125" t="s">
        <v>111</v>
      </c>
      <c r="D125" t="s">
        <v>116</v>
      </c>
    </row>
    <row r="126" spans="1:4" x14ac:dyDescent="0.2">
      <c r="A126" t="s">
        <v>107</v>
      </c>
      <c r="B126" t="s">
        <v>108</v>
      </c>
      <c r="C126" t="s">
        <v>112</v>
      </c>
      <c r="D126" t="s">
        <v>117</v>
      </c>
    </row>
    <row r="127" spans="1:4" x14ac:dyDescent="0.2">
      <c r="A127" t="s">
        <v>107</v>
      </c>
      <c r="B127" t="s">
        <v>108</v>
      </c>
      <c r="C127" t="s">
        <v>112</v>
      </c>
      <c r="D127" t="s">
        <v>116</v>
      </c>
    </row>
    <row r="128" spans="1:4" x14ac:dyDescent="0.2">
      <c r="A128" t="s">
        <v>107</v>
      </c>
      <c r="B128" t="s">
        <v>108</v>
      </c>
      <c r="C128" t="s">
        <v>113</v>
      </c>
      <c r="D128" t="s">
        <v>116</v>
      </c>
    </row>
    <row r="129" spans="1:4" x14ac:dyDescent="0.2">
      <c r="A129" t="s">
        <v>107</v>
      </c>
      <c r="B129" t="s">
        <v>108</v>
      </c>
      <c r="C129" t="s">
        <v>114</v>
      </c>
      <c r="D129" t="s">
        <v>116</v>
      </c>
    </row>
    <row r="130" spans="1:4" x14ac:dyDescent="0.2">
      <c r="A130" t="s">
        <v>107</v>
      </c>
      <c r="B130" t="s">
        <v>108</v>
      </c>
      <c r="C130" t="s">
        <v>115</v>
      </c>
      <c r="D130" t="s">
        <v>116</v>
      </c>
    </row>
    <row r="131" spans="1:4" x14ac:dyDescent="0.2">
      <c r="A131" t="s">
        <v>107</v>
      </c>
      <c r="B131" t="s">
        <v>118</v>
      </c>
      <c r="C131" t="s">
        <v>119</v>
      </c>
      <c r="D131" t="s">
        <v>33</v>
      </c>
    </row>
    <row r="132" spans="1:4" x14ac:dyDescent="0.2">
      <c r="A132" t="s">
        <v>107</v>
      </c>
      <c r="B132" t="s">
        <v>118</v>
      </c>
      <c r="C132" t="s">
        <v>119</v>
      </c>
      <c r="D132" t="s">
        <v>65</v>
      </c>
    </row>
    <row r="133" spans="1:4" x14ac:dyDescent="0.2">
      <c r="A133" t="s">
        <v>107</v>
      </c>
      <c r="B133" t="s">
        <v>118</v>
      </c>
      <c r="C133" t="s">
        <v>120</v>
      </c>
      <c r="D133" t="s">
        <v>38</v>
      </c>
    </row>
    <row r="134" spans="1:4" x14ac:dyDescent="0.2">
      <c r="A134" t="s">
        <v>107</v>
      </c>
      <c r="B134" t="s">
        <v>118</v>
      </c>
      <c r="C134" t="s">
        <v>120</v>
      </c>
      <c r="D134" t="s">
        <v>65</v>
      </c>
    </row>
    <row r="135" spans="1:4" x14ac:dyDescent="0.2">
      <c r="A135" t="s">
        <v>107</v>
      </c>
      <c r="B135" t="s">
        <v>118</v>
      </c>
      <c r="C135" t="s">
        <v>9</v>
      </c>
      <c r="D135" t="s">
        <v>33</v>
      </c>
    </row>
    <row r="136" spans="1:4" x14ac:dyDescent="0.2">
      <c r="A136" t="s">
        <v>107</v>
      </c>
      <c r="B136" t="s">
        <v>118</v>
      </c>
      <c r="C136" t="s">
        <v>9</v>
      </c>
      <c r="D136" t="s">
        <v>65</v>
      </c>
    </row>
    <row r="137" spans="1:4" x14ac:dyDescent="0.2">
      <c r="A137" t="s">
        <v>107</v>
      </c>
      <c r="B137" t="s">
        <v>118</v>
      </c>
      <c r="C137" t="s">
        <v>121</v>
      </c>
      <c r="D137" t="s">
        <v>33</v>
      </c>
    </row>
    <row r="138" spans="1:4" x14ac:dyDescent="0.2">
      <c r="A138" t="s">
        <v>107</v>
      </c>
      <c r="B138" t="s">
        <v>118</v>
      </c>
      <c r="C138" t="s">
        <v>121</v>
      </c>
      <c r="D138" t="s">
        <v>65</v>
      </c>
    </row>
    <row r="139" spans="1:4" x14ac:dyDescent="0.2">
      <c r="A139" t="s">
        <v>107</v>
      </c>
      <c r="B139" t="s">
        <v>118</v>
      </c>
      <c r="C139" t="s">
        <v>122</v>
      </c>
      <c r="D139" t="s">
        <v>33</v>
      </c>
    </row>
    <row r="140" spans="1:4" x14ac:dyDescent="0.2">
      <c r="A140" t="s">
        <v>107</v>
      </c>
      <c r="B140" t="s">
        <v>118</v>
      </c>
      <c r="C140" t="s">
        <v>122</v>
      </c>
      <c r="D140" t="s">
        <v>65</v>
      </c>
    </row>
    <row r="141" spans="1:4" x14ac:dyDescent="0.2">
      <c r="A141" t="s">
        <v>107</v>
      </c>
      <c r="B141" t="s">
        <v>123</v>
      </c>
      <c r="C141" t="s">
        <v>124</v>
      </c>
      <c r="D141" t="s">
        <v>128</v>
      </c>
    </row>
    <row r="142" spans="1:4" x14ac:dyDescent="0.2">
      <c r="A142" t="s">
        <v>107</v>
      </c>
      <c r="B142" t="s">
        <v>123</v>
      </c>
      <c r="C142" t="s">
        <v>185</v>
      </c>
      <c r="D142" t="s">
        <v>128</v>
      </c>
    </row>
    <row r="143" spans="1:4" x14ac:dyDescent="0.2">
      <c r="A143" t="s">
        <v>107</v>
      </c>
      <c r="B143" t="s">
        <v>123</v>
      </c>
      <c r="C143" t="s">
        <v>125</v>
      </c>
      <c r="D143" t="s">
        <v>128</v>
      </c>
    </row>
    <row r="144" spans="1:4" x14ac:dyDescent="0.2">
      <c r="A144" t="s">
        <v>107</v>
      </c>
      <c r="B144" t="s">
        <v>123</v>
      </c>
      <c r="C144" t="s">
        <v>126</v>
      </c>
      <c r="D144" t="s">
        <v>128</v>
      </c>
    </row>
    <row r="145" spans="1:4" x14ac:dyDescent="0.2">
      <c r="A145" t="s">
        <v>107</v>
      </c>
      <c r="B145" t="s">
        <v>123</v>
      </c>
      <c r="C145" t="s">
        <v>127</v>
      </c>
      <c r="D145" t="s">
        <v>26</v>
      </c>
    </row>
    <row r="146" spans="1:4" x14ac:dyDescent="0.2">
      <c r="A146" t="s">
        <v>107</v>
      </c>
      <c r="B146" t="s">
        <v>123</v>
      </c>
      <c r="C146" t="s">
        <v>127</v>
      </c>
      <c r="D146" t="s">
        <v>38</v>
      </c>
    </row>
    <row r="147" spans="1:4" x14ac:dyDescent="0.2">
      <c r="A147" t="s">
        <v>107</v>
      </c>
      <c r="B147" t="s">
        <v>123</v>
      </c>
      <c r="C147" t="s">
        <v>127</v>
      </c>
      <c r="D147" t="s">
        <v>128</v>
      </c>
    </row>
    <row r="148" spans="1:4" x14ac:dyDescent="0.2">
      <c r="A148" t="s">
        <v>107</v>
      </c>
      <c r="B148" t="s">
        <v>129</v>
      </c>
      <c r="C148" t="s">
        <v>182</v>
      </c>
      <c r="D148" t="s">
        <v>26</v>
      </c>
    </row>
    <row r="149" spans="1:4" x14ac:dyDescent="0.2">
      <c r="A149" t="s">
        <v>107</v>
      </c>
      <c r="B149" t="s">
        <v>129</v>
      </c>
      <c r="C149" t="s">
        <v>182</v>
      </c>
      <c r="D149" t="s">
        <v>38</v>
      </c>
    </row>
    <row r="150" spans="1:4" x14ac:dyDescent="0.2">
      <c r="A150" t="s">
        <v>107</v>
      </c>
      <c r="B150" t="s">
        <v>129</v>
      </c>
      <c r="C150" t="s">
        <v>130</v>
      </c>
      <c r="D150" t="s">
        <v>133</v>
      </c>
    </row>
    <row r="151" spans="1:4" x14ac:dyDescent="0.2">
      <c r="A151" t="s">
        <v>107</v>
      </c>
      <c r="B151" t="s">
        <v>129</v>
      </c>
      <c r="C151" t="s">
        <v>130</v>
      </c>
      <c r="D151" t="s">
        <v>134</v>
      </c>
    </row>
    <row r="152" spans="1:4" x14ac:dyDescent="0.2">
      <c r="A152" t="s">
        <v>107</v>
      </c>
      <c r="B152" t="s">
        <v>129</v>
      </c>
      <c r="C152" t="s">
        <v>130</v>
      </c>
      <c r="D152" t="s">
        <v>12</v>
      </c>
    </row>
    <row r="153" spans="1:4" x14ac:dyDescent="0.2">
      <c r="A153" t="s">
        <v>107</v>
      </c>
      <c r="B153" t="s">
        <v>129</v>
      </c>
      <c r="C153" t="s">
        <v>131</v>
      </c>
      <c r="D153" t="s">
        <v>133</v>
      </c>
    </row>
    <row r="154" spans="1:4" x14ac:dyDescent="0.2">
      <c r="A154" t="s">
        <v>107</v>
      </c>
      <c r="B154" t="s">
        <v>129</v>
      </c>
      <c r="C154" t="s">
        <v>131</v>
      </c>
      <c r="D154" t="s">
        <v>11</v>
      </c>
    </row>
    <row r="155" spans="1:4" x14ac:dyDescent="0.2">
      <c r="A155" t="s">
        <v>107</v>
      </c>
      <c r="B155" t="s">
        <v>129</v>
      </c>
      <c r="C155" t="s">
        <v>131</v>
      </c>
      <c r="D155" t="s">
        <v>12</v>
      </c>
    </row>
    <row r="156" spans="1:4" x14ac:dyDescent="0.2">
      <c r="A156" t="s">
        <v>107</v>
      </c>
      <c r="B156" t="s">
        <v>129</v>
      </c>
      <c r="C156" t="s">
        <v>132</v>
      </c>
      <c r="D156" t="s">
        <v>133</v>
      </c>
    </row>
    <row r="157" spans="1:4" x14ac:dyDescent="0.2">
      <c r="A157" t="s">
        <v>107</v>
      </c>
      <c r="B157" t="s">
        <v>129</v>
      </c>
      <c r="C157" t="s">
        <v>132</v>
      </c>
      <c r="D157" t="s">
        <v>11</v>
      </c>
    </row>
    <row r="158" spans="1:4" x14ac:dyDescent="0.2">
      <c r="A158" t="s">
        <v>107</v>
      </c>
      <c r="B158" t="s">
        <v>129</v>
      </c>
      <c r="C158" t="s">
        <v>132</v>
      </c>
      <c r="D158" t="s">
        <v>27</v>
      </c>
    </row>
    <row r="159" spans="1:4" x14ac:dyDescent="0.2">
      <c r="A159" t="s">
        <v>107</v>
      </c>
      <c r="B159" t="s">
        <v>129</v>
      </c>
      <c r="C159" t="s">
        <v>132</v>
      </c>
      <c r="D159" t="s">
        <v>12</v>
      </c>
    </row>
    <row r="160" spans="1:4" x14ac:dyDescent="0.2">
      <c r="A160" t="s">
        <v>107</v>
      </c>
      <c r="B160" t="s">
        <v>135</v>
      </c>
      <c r="C160" t="s">
        <v>136</v>
      </c>
      <c r="D160" t="s">
        <v>117</v>
      </c>
    </row>
    <row r="161" spans="1:4" x14ac:dyDescent="0.2">
      <c r="A161" t="s">
        <v>107</v>
      </c>
      <c r="B161" t="s">
        <v>135</v>
      </c>
      <c r="C161" t="s">
        <v>137</v>
      </c>
      <c r="D161" t="s">
        <v>117</v>
      </c>
    </row>
    <row r="162" spans="1:4" x14ac:dyDescent="0.2">
      <c r="A162" t="s">
        <v>107</v>
      </c>
      <c r="B162" t="s">
        <v>135</v>
      </c>
      <c r="C162" t="s">
        <v>138</v>
      </c>
      <c r="D162" t="s">
        <v>117</v>
      </c>
    </row>
    <row r="163" spans="1:4" x14ac:dyDescent="0.2">
      <c r="A163" t="s">
        <v>107</v>
      </c>
      <c r="B163" t="s">
        <v>139</v>
      </c>
      <c r="C163" t="s">
        <v>140</v>
      </c>
      <c r="D163" t="s">
        <v>33</v>
      </c>
    </row>
    <row r="164" spans="1:4" x14ac:dyDescent="0.2">
      <c r="A164" t="s">
        <v>107</v>
      </c>
      <c r="B164" t="s">
        <v>139</v>
      </c>
      <c r="C164" t="s">
        <v>140</v>
      </c>
      <c r="D164" t="s">
        <v>65</v>
      </c>
    </row>
    <row r="165" spans="1:4" x14ac:dyDescent="0.2">
      <c r="A165" t="s">
        <v>107</v>
      </c>
      <c r="B165" t="s">
        <v>139</v>
      </c>
      <c r="C165" t="s">
        <v>141</v>
      </c>
      <c r="D165" t="s">
        <v>33</v>
      </c>
    </row>
    <row r="166" spans="1:4" x14ac:dyDescent="0.2">
      <c r="A166" t="s">
        <v>107</v>
      </c>
      <c r="B166" t="s">
        <v>139</v>
      </c>
      <c r="C166" t="s">
        <v>141</v>
      </c>
      <c r="D166" t="s">
        <v>65</v>
      </c>
    </row>
    <row r="167" spans="1:4" x14ac:dyDescent="0.2">
      <c r="A167" t="s">
        <v>107</v>
      </c>
      <c r="B167" t="s">
        <v>139</v>
      </c>
      <c r="C167" t="s">
        <v>141</v>
      </c>
      <c r="D167" t="s">
        <v>144</v>
      </c>
    </row>
    <row r="168" spans="1:4" x14ac:dyDescent="0.2">
      <c r="A168" t="s">
        <v>107</v>
      </c>
      <c r="B168" t="s">
        <v>139</v>
      </c>
      <c r="C168" t="s">
        <v>141</v>
      </c>
      <c r="D168" t="s">
        <v>11</v>
      </c>
    </row>
    <row r="169" spans="1:4" x14ac:dyDescent="0.2">
      <c r="A169" t="s">
        <v>107</v>
      </c>
      <c r="B169" t="s">
        <v>139</v>
      </c>
      <c r="C169" t="s">
        <v>142</v>
      </c>
      <c r="D169" t="s">
        <v>33</v>
      </c>
    </row>
    <row r="170" spans="1:4" x14ac:dyDescent="0.2">
      <c r="A170" t="s">
        <v>107</v>
      </c>
      <c r="B170" t="s">
        <v>139</v>
      </c>
      <c r="C170" t="s">
        <v>142</v>
      </c>
      <c r="D170" t="s">
        <v>65</v>
      </c>
    </row>
    <row r="171" spans="1:4" x14ac:dyDescent="0.2">
      <c r="A171" t="s">
        <v>107</v>
      </c>
      <c r="B171" t="s">
        <v>139</v>
      </c>
      <c r="C171" t="s">
        <v>142</v>
      </c>
      <c r="D171" t="s">
        <v>144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B018-4A35-4A1D-9922-4A043A75E4C9}">
  <dimension ref="A1:U43"/>
  <sheetViews>
    <sheetView tabSelected="1" zoomScale="125" zoomScaleNormal="70" workbookViewId="0">
      <selection activeCell="G40" sqref="G40"/>
    </sheetView>
  </sheetViews>
  <sheetFormatPr baseColWidth="10" defaultColWidth="9.33203125" defaultRowHeight="15" x14ac:dyDescent="0.2"/>
  <cols>
    <col min="1" max="1" width="32" bestFit="1" customWidth="1"/>
    <col min="2" max="2" width="19.5" bestFit="1" customWidth="1"/>
    <col min="3" max="3" width="21.6640625" bestFit="1" customWidth="1"/>
    <col min="4" max="7" width="21.6640625" customWidth="1"/>
    <col min="8" max="8" width="28" bestFit="1" customWidth="1"/>
    <col min="9" max="9" width="21.6640625" customWidth="1"/>
    <col min="10" max="10" width="18.83203125" bestFit="1" customWidth="1"/>
    <col min="11" max="11" width="39" bestFit="1" customWidth="1"/>
    <col min="12" max="12" width="29" customWidth="1"/>
    <col min="13" max="13" width="14.1640625" customWidth="1"/>
    <col min="14" max="14" width="13.6640625" bestFit="1" customWidth="1"/>
    <col min="15" max="15" width="14.33203125" style="11" customWidth="1"/>
    <col min="16" max="16" width="13.33203125" style="12" bestFit="1" customWidth="1"/>
    <col min="17" max="17" width="15.33203125" style="12" bestFit="1" customWidth="1"/>
    <col min="18" max="18" width="11" customWidth="1"/>
    <col min="19" max="19" width="22.6640625" style="11" bestFit="1" customWidth="1"/>
    <col min="20" max="21" width="14.1640625" style="13" bestFit="1" customWidth="1"/>
    <col min="23" max="23" width="23.6640625" bestFit="1" customWidth="1"/>
    <col min="24" max="24" width="16.33203125" bestFit="1" customWidth="1"/>
    <col min="28" max="28" width="14" customWidth="1"/>
    <col min="29" max="29" width="19.5" customWidth="1"/>
    <col min="30" max="30" width="17.6640625" customWidth="1"/>
    <col min="31" max="31" width="19.33203125" customWidth="1"/>
    <col min="32" max="32" width="26" customWidth="1"/>
  </cols>
  <sheetData>
    <row r="1" spans="1:21" x14ac:dyDescent="0.2">
      <c r="A1" s="10" t="s">
        <v>145</v>
      </c>
      <c r="B1" t="s">
        <v>180</v>
      </c>
      <c r="C1" t="s">
        <v>181</v>
      </c>
    </row>
    <row r="2" spans="1:21" x14ac:dyDescent="0.2">
      <c r="A2" s="14" t="s">
        <v>146</v>
      </c>
      <c r="B2" s="15">
        <v>380000</v>
      </c>
      <c r="C2" s="10" t="s">
        <v>147</v>
      </c>
      <c r="D2" s="10"/>
      <c r="E2" s="10"/>
      <c r="F2" s="10"/>
      <c r="G2" s="10"/>
      <c r="H2" s="10"/>
      <c r="I2" s="10"/>
    </row>
    <row r="3" spans="1:21" x14ac:dyDescent="0.2">
      <c r="A3" s="14" t="s">
        <v>148</v>
      </c>
      <c r="B3" s="15">
        <v>40000</v>
      </c>
      <c r="C3" s="10" t="s">
        <v>147</v>
      </c>
      <c r="D3" s="10"/>
      <c r="E3" s="10"/>
      <c r="F3" s="10"/>
      <c r="G3" s="10"/>
      <c r="H3" s="10"/>
      <c r="I3" s="10"/>
    </row>
    <row r="4" spans="1:21" x14ac:dyDescent="0.2">
      <c r="A4" s="14" t="s">
        <v>149</v>
      </c>
      <c r="B4" s="15">
        <v>180000</v>
      </c>
      <c r="C4" s="10" t="s">
        <v>150</v>
      </c>
      <c r="D4" s="10"/>
      <c r="E4" s="10"/>
      <c r="F4" s="10"/>
      <c r="G4" s="10"/>
      <c r="H4" s="10"/>
      <c r="I4" s="10"/>
      <c r="O4"/>
      <c r="P4"/>
      <c r="Q4"/>
      <c r="S4"/>
      <c r="T4"/>
      <c r="U4"/>
    </row>
    <row r="5" spans="1:21" x14ac:dyDescent="0.2">
      <c r="A5" s="14" t="s">
        <v>151</v>
      </c>
      <c r="B5" s="15">
        <v>25000</v>
      </c>
      <c r="C5" s="10" t="s">
        <v>152</v>
      </c>
      <c r="D5" s="10"/>
      <c r="E5" s="10"/>
      <c r="F5" s="10"/>
      <c r="G5" s="10"/>
      <c r="H5" s="10"/>
      <c r="I5" s="10"/>
      <c r="O5"/>
      <c r="P5"/>
      <c r="Q5"/>
      <c r="S5"/>
      <c r="T5"/>
      <c r="U5"/>
    </row>
    <row r="6" spans="1:21" x14ac:dyDescent="0.2">
      <c r="A6" s="14" t="s">
        <v>153</v>
      </c>
      <c r="B6" s="15">
        <v>7800000</v>
      </c>
      <c r="C6" s="10" t="s">
        <v>154</v>
      </c>
      <c r="D6" s="10"/>
      <c r="E6" s="10"/>
      <c r="F6" s="10"/>
      <c r="G6" s="10"/>
      <c r="H6" s="10"/>
      <c r="I6" s="10"/>
      <c r="O6"/>
      <c r="P6"/>
      <c r="Q6"/>
      <c r="S6"/>
      <c r="T6"/>
      <c r="U6"/>
    </row>
    <row r="7" spans="1:21" x14ac:dyDescent="0.2">
      <c r="A7" s="14" t="s">
        <v>155</v>
      </c>
      <c r="B7" s="16">
        <v>0.25</v>
      </c>
      <c r="C7" s="10" t="s">
        <v>156</v>
      </c>
      <c r="D7" s="10"/>
      <c r="E7" s="10"/>
      <c r="F7" s="10"/>
      <c r="G7" s="10"/>
      <c r="H7" s="10"/>
      <c r="I7" s="10"/>
      <c r="O7"/>
      <c r="P7"/>
      <c r="Q7"/>
      <c r="S7"/>
      <c r="T7"/>
      <c r="U7"/>
    </row>
    <row r="8" spans="1:21" x14ac:dyDescent="0.2">
      <c r="O8"/>
      <c r="P8"/>
      <c r="Q8"/>
      <c r="S8"/>
      <c r="T8"/>
      <c r="U8"/>
    </row>
    <row r="9" spans="1:21" x14ac:dyDescent="0.2">
      <c r="O9"/>
      <c r="P9"/>
      <c r="Q9"/>
      <c r="S9"/>
      <c r="T9"/>
      <c r="U9"/>
    </row>
    <row r="10" spans="1:21" x14ac:dyDescent="0.2">
      <c r="A10" t="s">
        <v>2</v>
      </c>
      <c r="B10" t="s">
        <v>157</v>
      </c>
      <c r="C10" t="s">
        <v>158</v>
      </c>
      <c r="D10" t="s">
        <v>159</v>
      </c>
      <c r="E10" t="s">
        <v>190</v>
      </c>
      <c r="O10"/>
      <c r="P10"/>
      <c r="Q10"/>
      <c r="S10"/>
      <c r="T10"/>
      <c r="U10"/>
    </row>
    <row r="11" spans="1:21" x14ac:dyDescent="0.2">
      <c r="A11" t="s">
        <v>161</v>
      </c>
      <c r="B11" s="17">
        <v>50000</v>
      </c>
      <c r="C11" s="17">
        <v>25000</v>
      </c>
      <c r="D11" s="17">
        <v>75000</v>
      </c>
      <c r="E11" s="17">
        <f>SUM(Table62[[#This Row],[License]:[Maintenance]])</f>
        <v>150000</v>
      </c>
      <c r="O11"/>
      <c r="P11"/>
      <c r="Q11"/>
      <c r="S11"/>
      <c r="T11"/>
      <c r="U11"/>
    </row>
    <row r="12" spans="1:21" x14ac:dyDescent="0.2">
      <c r="A12" t="s">
        <v>38</v>
      </c>
      <c r="B12" s="17">
        <v>30000</v>
      </c>
      <c r="C12" s="17">
        <v>3000</v>
      </c>
      <c r="D12" s="17">
        <v>240000</v>
      </c>
      <c r="E12" s="17">
        <f>SUM(Table62[[#This Row],[License]:[Maintenance]])</f>
        <v>273000</v>
      </c>
      <c r="O12"/>
      <c r="P12"/>
      <c r="Q12"/>
      <c r="S12"/>
      <c r="T12"/>
      <c r="U12"/>
    </row>
    <row r="13" spans="1:21" x14ac:dyDescent="0.2">
      <c r="A13" t="s">
        <v>162</v>
      </c>
      <c r="B13" s="17">
        <v>25000</v>
      </c>
      <c r="C13" s="17">
        <v>15000</v>
      </c>
      <c r="D13" s="17">
        <v>7000</v>
      </c>
      <c r="E13" s="17">
        <f>SUM(Table62[[#This Row],[License]:[Maintenance]])</f>
        <v>47000</v>
      </c>
      <c r="O13"/>
      <c r="P13"/>
      <c r="Q13"/>
      <c r="S13"/>
      <c r="T13"/>
      <c r="U13"/>
    </row>
    <row r="14" spans="1:21" x14ac:dyDescent="0.2">
      <c r="A14" t="s">
        <v>143</v>
      </c>
      <c r="B14" s="17">
        <v>65000</v>
      </c>
      <c r="C14" s="17">
        <v>16000</v>
      </c>
      <c r="D14" s="17">
        <v>12000</v>
      </c>
      <c r="E14" s="17">
        <f>SUM(Table62[[#This Row],[License]:[Maintenance]])</f>
        <v>93000</v>
      </c>
      <c r="O14"/>
      <c r="P14"/>
      <c r="Q14"/>
      <c r="S14"/>
      <c r="T14"/>
      <c r="U14"/>
    </row>
    <row r="15" spans="1:21" x14ac:dyDescent="0.2">
      <c r="A15" t="s">
        <v>163</v>
      </c>
      <c r="B15" s="17">
        <v>180000</v>
      </c>
      <c r="C15" s="17">
        <v>80000</v>
      </c>
      <c r="D15" s="17">
        <v>340000</v>
      </c>
      <c r="E15" s="17">
        <f>SUM(Table62[[#This Row],[License]:[Maintenance]])</f>
        <v>600000</v>
      </c>
      <c r="O15"/>
      <c r="P15"/>
      <c r="Q15"/>
      <c r="S15"/>
      <c r="T15"/>
      <c r="U15"/>
    </row>
    <row r="16" spans="1:21" x14ac:dyDescent="0.2">
      <c r="A16" t="s">
        <v>134</v>
      </c>
      <c r="B16" s="17">
        <v>0</v>
      </c>
      <c r="C16" s="17">
        <v>22000</v>
      </c>
      <c r="D16" s="17">
        <v>180000</v>
      </c>
      <c r="E16" s="17">
        <f>SUM(Table62[[#This Row],[License]:[Maintenance]])</f>
        <v>202000</v>
      </c>
      <c r="O16"/>
      <c r="P16"/>
      <c r="Q16"/>
      <c r="S16"/>
      <c r="T16"/>
      <c r="U16"/>
    </row>
    <row r="17" spans="1:21" x14ac:dyDescent="0.2">
      <c r="A17" t="s">
        <v>164</v>
      </c>
      <c r="B17" s="17">
        <v>15000</v>
      </c>
      <c r="C17" s="17">
        <v>3000</v>
      </c>
      <c r="D17" s="17">
        <v>58000</v>
      </c>
      <c r="E17" s="17">
        <f>SUM(Table62[[#This Row],[License]:[Maintenance]])</f>
        <v>76000</v>
      </c>
      <c r="O17"/>
      <c r="P17"/>
      <c r="Q17"/>
      <c r="S17"/>
      <c r="T17"/>
      <c r="U17"/>
    </row>
    <row r="18" spans="1:21" x14ac:dyDescent="0.2">
      <c r="A18" t="s">
        <v>144</v>
      </c>
      <c r="B18" s="17">
        <v>35000</v>
      </c>
      <c r="C18" s="17">
        <v>5000</v>
      </c>
      <c r="D18" s="17">
        <v>2000</v>
      </c>
      <c r="E18" s="17">
        <f>SUM(Table62[[#This Row],[License]:[Maintenance]])</f>
        <v>42000</v>
      </c>
      <c r="O18"/>
      <c r="P18"/>
      <c r="Q18"/>
      <c r="S18"/>
      <c r="T18"/>
      <c r="U18"/>
    </row>
    <row r="19" spans="1:21" x14ac:dyDescent="0.2">
      <c r="A19" t="s">
        <v>165</v>
      </c>
      <c r="B19" s="17">
        <v>120000</v>
      </c>
      <c r="C19" s="17">
        <v>12000</v>
      </c>
      <c r="D19" s="17">
        <v>120000</v>
      </c>
      <c r="E19" s="17">
        <f>SUM(Table62[[#This Row],[License]:[Maintenance]])</f>
        <v>252000</v>
      </c>
      <c r="O19"/>
      <c r="P19"/>
      <c r="Q19"/>
      <c r="S19"/>
      <c r="T19"/>
      <c r="U19"/>
    </row>
    <row r="20" spans="1:21" x14ac:dyDescent="0.2">
      <c r="A20" t="s">
        <v>72</v>
      </c>
      <c r="B20" s="17">
        <v>110000</v>
      </c>
      <c r="C20" s="17">
        <v>28000</v>
      </c>
      <c r="D20" s="17">
        <v>90000</v>
      </c>
      <c r="E20" s="17">
        <f>SUM(Table62[[#This Row],[License]:[Maintenance]])</f>
        <v>228000</v>
      </c>
      <c r="O20"/>
      <c r="P20"/>
      <c r="Q20"/>
      <c r="S20"/>
      <c r="T20"/>
      <c r="U20"/>
    </row>
    <row r="21" spans="1:21" x14ac:dyDescent="0.2">
      <c r="A21" t="s">
        <v>51</v>
      </c>
      <c r="B21" s="17">
        <v>0</v>
      </c>
      <c r="C21" s="17">
        <v>35000</v>
      </c>
      <c r="D21" s="17">
        <v>98000</v>
      </c>
      <c r="E21" s="17">
        <f>SUM(Table62[[#This Row],[License]:[Maintenance]])</f>
        <v>133000</v>
      </c>
      <c r="O21"/>
      <c r="P21"/>
      <c r="Q21"/>
      <c r="S21"/>
      <c r="T21"/>
      <c r="U21"/>
    </row>
    <row r="22" spans="1:21" x14ac:dyDescent="0.2">
      <c r="A22" t="s">
        <v>46</v>
      </c>
      <c r="B22" s="17">
        <v>230000</v>
      </c>
      <c r="C22" s="17">
        <v>180000</v>
      </c>
      <c r="D22" s="17">
        <v>320000</v>
      </c>
      <c r="E22" s="17">
        <f>SUM(Table62[[#This Row],[License]:[Maintenance]])</f>
        <v>730000</v>
      </c>
      <c r="O22"/>
      <c r="P22"/>
      <c r="Q22"/>
      <c r="S22"/>
      <c r="T22"/>
      <c r="U22"/>
    </row>
    <row r="23" spans="1:21" x14ac:dyDescent="0.2">
      <c r="A23" t="s">
        <v>166</v>
      </c>
      <c r="B23" s="17">
        <v>0</v>
      </c>
      <c r="C23" s="17">
        <v>28000</v>
      </c>
      <c r="D23" s="17">
        <v>280000</v>
      </c>
      <c r="E23" s="17">
        <f>SUM(Table62[[#This Row],[License]:[Maintenance]])</f>
        <v>308000</v>
      </c>
      <c r="O23"/>
      <c r="P23"/>
      <c r="Q23"/>
      <c r="S23"/>
      <c r="T23"/>
      <c r="U23"/>
    </row>
    <row r="24" spans="1:21" x14ac:dyDescent="0.2">
      <c r="A24" t="s">
        <v>73</v>
      </c>
      <c r="B24" s="17">
        <v>75000</v>
      </c>
      <c r="C24" s="17">
        <v>17000</v>
      </c>
      <c r="D24" s="17">
        <v>270000</v>
      </c>
      <c r="E24" s="17">
        <f>SUM(Table62[[#This Row],[License]:[Maintenance]])</f>
        <v>362000</v>
      </c>
      <c r="O24"/>
      <c r="P24"/>
      <c r="Q24"/>
      <c r="S24"/>
      <c r="T24"/>
      <c r="U24"/>
    </row>
    <row r="25" spans="1:21" x14ac:dyDescent="0.2">
      <c r="A25" t="s">
        <v>167</v>
      </c>
      <c r="B25" s="17">
        <v>3000</v>
      </c>
      <c r="C25" s="17">
        <v>0</v>
      </c>
      <c r="D25" s="17">
        <v>75000</v>
      </c>
      <c r="E25" s="17">
        <f>SUM(Table62[[#This Row],[License]:[Maintenance]])</f>
        <v>78000</v>
      </c>
      <c r="O25"/>
      <c r="P25"/>
      <c r="Q25"/>
      <c r="S25"/>
      <c r="T25"/>
      <c r="U25"/>
    </row>
    <row r="26" spans="1:21" x14ac:dyDescent="0.2">
      <c r="A26" t="s">
        <v>168</v>
      </c>
      <c r="B26" s="17">
        <v>0</v>
      </c>
      <c r="C26" s="17">
        <v>0</v>
      </c>
      <c r="D26" s="17">
        <v>175000</v>
      </c>
      <c r="E26" s="17">
        <f>SUM(Table62[[#This Row],[License]:[Maintenance]])</f>
        <v>175000</v>
      </c>
      <c r="O26"/>
      <c r="P26"/>
      <c r="Q26"/>
      <c r="S26"/>
      <c r="T26"/>
      <c r="U26"/>
    </row>
    <row r="27" spans="1:21" x14ac:dyDescent="0.2">
      <c r="A27" t="s">
        <v>169</v>
      </c>
      <c r="B27" s="17">
        <v>160000</v>
      </c>
      <c r="C27" s="17">
        <v>65000</v>
      </c>
      <c r="D27" s="17">
        <v>120000</v>
      </c>
      <c r="E27" s="17">
        <f>SUM(Table62[[#This Row],[License]:[Maintenance]])</f>
        <v>345000</v>
      </c>
      <c r="O27"/>
      <c r="P27"/>
      <c r="Q27"/>
      <c r="S27"/>
      <c r="T27"/>
      <c r="U27"/>
    </row>
    <row r="28" spans="1:21" x14ac:dyDescent="0.2">
      <c r="A28" t="s">
        <v>170</v>
      </c>
      <c r="B28" s="17">
        <v>75000</v>
      </c>
      <c r="C28" s="17">
        <v>27000</v>
      </c>
      <c r="D28" s="17">
        <v>48000</v>
      </c>
      <c r="E28" s="17">
        <f>SUM(Table62[[#This Row],[License]:[Maintenance]])</f>
        <v>150000</v>
      </c>
      <c r="O28"/>
      <c r="P28"/>
      <c r="Q28"/>
      <c r="S28"/>
      <c r="T28"/>
      <c r="U28"/>
    </row>
    <row r="29" spans="1:21" x14ac:dyDescent="0.2">
      <c r="A29" t="s">
        <v>54</v>
      </c>
      <c r="B29" s="17">
        <v>0</v>
      </c>
      <c r="C29" s="17">
        <v>78000</v>
      </c>
      <c r="D29" s="17">
        <v>168000</v>
      </c>
      <c r="E29" s="17">
        <f>SUM(Table62[[#This Row],[License]:[Maintenance]])</f>
        <v>246000</v>
      </c>
      <c r="O29"/>
      <c r="P29"/>
      <c r="Q29"/>
      <c r="S29"/>
      <c r="T29"/>
      <c r="U29"/>
    </row>
    <row r="30" spans="1:21" x14ac:dyDescent="0.2">
      <c r="A30" t="s">
        <v>171</v>
      </c>
      <c r="B30" s="17">
        <v>15000</v>
      </c>
      <c r="C30" s="17">
        <v>18000</v>
      </c>
      <c r="D30" s="17">
        <v>22000</v>
      </c>
      <c r="E30" s="17">
        <f>SUM(Table62[[#This Row],[License]:[Maintenance]])</f>
        <v>55000</v>
      </c>
      <c r="O30"/>
      <c r="P30"/>
      <c r="Q30"/>
      <c r="S30"/>
      <c r="T30"/>
      <c r="U30"/>
    </row>
    <row r="31" spans="1:21" x14ac:dyDescent="0.2">
      <c r="A31" t="s">
        <v>172</v>
      </c>
      <c r="B31" s="17">
        <v>0</v>
      </c>
      <c r="C31" s="17">
        <v>37000</v>
      </c>
      <c r="D31" s="17">
        <v>348000</v>
      </c>
      <c r="E31" s="17">
        <f>SUM(Table62[[#This Row],[License]:[Maintenance]])</f>
        <v>385000</v>
      </c>
      <c r="O31"/>
      <c r="P31"/>
      <c r="Q31"/>
      <c r="S31"/>
      <c r="T31"/>
      <c r="U31"/>
    </row>
    <row r="32" spans="1:21" x14ac:dyDescent="0.2">
      <c r="A32" t="s">
        <v>173</v>
      </c>
      <c r="B32" s="17">
        <v>195000</v>
      </c>
      <c r="C32" s="17">
        <v>133000</v>
      </c>
      <c r="D32" s="17">
        <v>215000</v>
      </c>
      <c r="E32" s="17">
        <f>SUM(Table62[[#This Row],[License]:[Maintenance]])</f>
        <v>543000</v>
      </c>
      <c r="O32"/>
      <c r="P32"/>
      <c r="Q32"/>
      <c r="S32"/>
      <c r="T32"/>
      <c r="U32"/>
    </row>
    <row r="33" spans="1:21" x14ac:dyDescent="0.2">
      <c r="A33" t="s">
        <v>174</v>
      </c>
      <c r="B33" s="17">
        <v>32000</v>
      </c>
      <c r="C33" s="17">
        <v>16000</v>
      </c>
      <c r="D33" s="17">
        <v>0</v>
      </c>
      <c r="E33" s="17">
        <f>SUM(Table62[[#This Row],[License]:[Maintenance]])</f>
        <v>48000</v>
      </c>
      <c r="O33"/>
      <c r="P33"/>
      <c r="Q33"/>
      <c r="S33"/>
      <c r="T33"/>
      <c r="U33"/>
    </row>
    <row r="34" spans="1:21" x14ac:dyDescent="0.2">
      <c r="A34" t="s">
        <v>175</v>
      </c>
      <c r="B34" s="17">
        <v>44000</v>
      </c>
      <c r="C34" s="17">
        <v>17000</v>
      </c>
      <c r="D34" s="17">
        <v>16000</v>
      </c>
      <c r="E34" s="17">
        <f>SUM(Table62[[#This Row],[License]:[Maintenance]])</f>
        <v>77000</v>
      </c>
      <c r="O34"/>
      <c r="P34"/>
      <c r="Q34"/>
      <c r="S34"/>
      <c r="T34"/>
      <c r="U34"/>
    </row>
    <row r="35" spans="1:21" x14ac:dyDescent="0.2">
      <c r="A35" t="s">
        <v>176</v>
      </c>
      <c r="B35" s="17">
        <v>0</v>
      </c>
      <c r="C35" s="17">
        <v>14000</v>
      </c>
      <c r="D35" s="17">
        <v>18000</v>
      </c>
      <c r="E35" s="17">
        <f>SUM(Table62[[#This Row],[License]:[Maintenance]])</f>
        <v>32000</v>
      </c>
      <c r="O35"/>
      <c r="P35"/>
      <c r="Q35"/>
      <c r="S35"/>
      <c r="T35"/>
      <c r="U35"/>
    </row>
    <row r="36" spans="1:21" x14ac:dyDescent="0.2">
      <c r="A36" t="s">
        <v>177</v>
      </c>
      <c r="B36" s="17">
        <v>0</v>
      </c>
      <c r="C36" s="17">
        <v>3000</v>
      </c>
      <c r="D36" s="17">
        <v>78000</v>
      </c>
      <c r="E36" s="17">
        <f>SUM(Table62[[#This Row],[License]:[Maintenance]])</f>
        <v>81000</v>
      </c>
    </row>
    <row r="37" spans="1:21" x14ac:dyDescent="0.2">
      <c r="A37" t="s">
        <v>178</v>
      </c>
      <c r="B37" s="17">
        <v>32000</v>
      </c>
      <c r="C37" s="17">
        <v>11000</v>
      </c>
      <c r="D37" s="17">
        <v>57000</v>
      </c>
      <c r="E37" s="17">
        <f>SUM(Table62[[#This Row],[License]:[Maintenance]])</f>
        <v>100000</v>
      </c>
    </row>
    <row r="38" spans="1:21" x14ac:dyDescent="0.2">
      <c r="A38" t="s">
        <v>179</v>
      </c>
      <c r="B38" s="17">
        <v>0</v>
      </c>
      <c r="C38" s="17">
        <v>12000</v>
      </c>
      <c r="D38" s="17">
        <v>63000</v>
      </c>
      <c r="E38" s="17">
        <f>SUM(Table62[[#This Row],[License]:[Maintenance]])</f>
        <v>75000</v>
      </c>
    </row>
    <row r="39" spans="1:21" x14ac:dyDescent="0.2">
      <c r="A39" t="s">
        <v>47</v>
      </c>
      <c r="B39" s="17">
        <v>0</v>
      </c>
      <c r="C39" s="17">
        <v>0</v>
      </c>
      <c r="D39" s="17">
        <v>13000</v>
      </c>
      <c r="E39" s="17">
        <f>SUM(Table62[[#This Row],[License]:[Maintenance]])</f>
        <v>13000</v>
      </c>
    </row>
    <row r="40" spans="1:21" x14ac:dyDescent="0.2">
      <c r="A40" t="s">
        <v>133</v>
      </c>
      <c r="B40" s="17">
        <v>38000</v>
      </c>
      <c r="C40" s="17">
        <v>11000</v>
      </c>
      <c r="D40" s="17">
        <v>8000</v>
      </c>
      <c r="E40" s="17">
        <f>SUM(Table62[[#This Row],[License]:[Maintenance]])</f>
        <v>57000</v>
      </c>
    </row>
    <row r="41" spans="1:21" x14ac:dyDescent="0.2">
      <c r="A41" t="s">
        <v>117</v>
      </c>
      <c r="B41" s="17">
        <v>15000</v>
      </c>
      <c r="C41" s="17">
        <v>8000</v>
      </c>
      <c r="D41" s="17">
        <v>6000</v>
      </c>
      <c r="E41" s="17">
        <f>SUM(Table62[[#This Row],[License]:[Maintenance]])</f>
        <v>29000</v>
      </c>
    </row>
    <row r="42" spans="1:21" x14ac:dyDescent="0.2">
      <c r="A42" t="s">
        <v>26</v>
      </c>
      <c r="B42" s="17">
        <v>31000</v>
      </c>
      <c r="C42" s="17">
        <v>7000</v>
      </c>
      <c r="D42" s="17">
        <v>15000</v>
      </c>
      <c r="E42" s="17">
        <f>SUM(Table62[[#This Row],[License]:[Maintenance]])</f>
        <v>53000</v>
      </c>
    </row>
    <row r="43" spans="1:21" ht="16" x14ac:dyDescent="0.2">
      <c r="A43" s="18" t="s">
        <v>160</v>
      </c>
      <c r="B43" s="19">
        <f>SUM(B11:B42)</f>
        <v>1575000</v>
      </c>
      <c r="C43" s="19">
        <f t="shared" ref="C43:D43" si="0">SUM(C11:C42)</f>
        <v>926000</v>
      </c>
      <c r="D43" s="19">
        <f t="shared" si="0"/>
        <v>3537000</v>
      </c>
      <c r="E43" s="19">
        <f>SUM(Table62[[#This Row],[License]:[Maintenance]])</f>
        <v>6038000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2A5A-0318-4C3C-9A66-DA2A8BDD3BFC}">
  <dimension ref="A3:W127"/>
  <sheetViews>
    <sheetView zoomScale="125" workbookViewId="0">
      <selection activeCell="A3" sqref="A3:W127"/>
    </sheetView>
  </sheetViews>
  <sheetFormatPr baseColWidth="10" defaultColWidth="10.6640625" defaultRowHeight="15" x14ac:dyDescent="0.2"/>
  <cols>
    <col min="1" max="1" width="43.1640625" bestFit="1" customWidth="1"/>
    <col min="2" max="2" width="15.83203125" bestFit="1" customWidth="1"/>
    <col min="3" max="3" width="9.1640625" bestFit="1" customWidth="1"/>
    <col min="4" max="4" width="12.6640625" bestFit="1" customWidth="1"/>
    <col min="5" max="5" width="9.6640625" bestFit="1" customWidth="1"/>
    <col min="6" max="6" width="5.6640625" bestFit="1" customWidth="1"/>
    <col min="7" max="7" width="10.5" bestFit="1" customWidth="1"/>
    <col min="8" max="8" width="20.6640625" bestFit="1" customWidth="1"/>
    <col min="9" max="9" width="4.5" bestFit="1" customWidth="1"/>
    <col min="10" max="10" width="8.6640625" bestFit="1" customWidth="1"/>
    <col min="11" max="11" width="4" bestFit="1" customWidth="1"/>
    <col min="12" max="12" width="14" bestFit="1" customWidth="1"/>
    <col min="13" max="13" width="11.1640625" bestFit="1" customWidth="1"/>
    <col min="14" max="14" width="6.1640625" bestFit="1" customWidth="1"/>
    <col min="15" max="15" width="8" bestFit="1" customWidth="1"/>
    <col min="16" max="16" width="9.5" bestFit="1" customWidth="1"/>
    <col min="17" max="17" width="9.33203125" bestFit="1" customWidth="1"/>
    <col min="18" max="18" width="8.6640625" bestFit="1" customWidth="1"/>
    <col min="19" max="19" width="7.6640625" bestFit="1" customWidth="1"/>
    <col min="20" max="20" width="11.83203125" bestFit="1" customWidth="1"/>
    <col min="21" max="21" width="10" bestFit="1" customWidth="1"/>
    <col min="22" max="22" width="11" bestFit="1" customWidth="1"/>
    <col min="23" max="23" width="10.5" bestFit="1" customWidth="1"/>
  </cols>
  <sheetData>
    <row r="3" spans="1:23" x14ac:dyDescent="0.2">
      <c r="A3" s="3" t="s">
        <v>183</v>
      </c>
      <c r="B3" t="s">
        <v>187</v>
      </c>
    </row>
    <row r="4" spans="1:23" x14ac:dyDescent="0.2">
      <c r="A4" s="3" t="s">
        <v>188</v>
      </c>
      <c r="B4" t="s">
        <v>163</v>
      </c>
      <c r="C4" t="s">
        <v>117</v>
      </c>
      <c r="D4" t="s">
        <v>11</v>
      </c>
      <c r="E4" t="s">
        <v>21</v>
      </c>
      <c r="F4" t="s">
        <v>133</v>
      </c>
      <c r="G4" t="s">
        <v>26</v>
      </c>
      <c r="H4" t="s">
        <v>27</v>
      </c>
      <c r="I4" t="s">
        <v>12</v>
      </c>
      <c r="J4" t="s">
        <v>46</v>
      </c>
      <c r="K4" t="s">
        <v>38</v>
      </c>
      <c r="L4" t="s">
        <v>47</v>
      </c>
      <c r="M4" t="s">
        <v>144</v>
      </c>
      <c r="N4" t="s">
        <v>73</v>
      </c>
      <c r="O4" t="s">
        <v>33</v>
      </c>
      <c r="P4" t="s">
        <v>134</v>
      </c>
      <c r="Q4" t="s">
        <v>65</v>
      </c>
      <c r="R4" t="s">
        <v>72</v>
      </c>
      <c r="S4" t="s">
        <v>51</v>
      </c>
      <c r="T4" t="s">
        <v>91</v>
      </c>
      <c r="U4" t="s">
        <v>116</v>
      </c>
      <c r="V4" t="s">
        <v>128</v>
      </c>
      <c r="W4" t="s">
        <v>186</v>
      </c>
    </row>
    <row r="5" spans="1:23" x14ac:dyDescent="0.2">
      <c r="A5" s="4" t="s">
        <v>34</v>
      </c>
      <c r="B5">
        <v>7</v>
      </c>
      <c r="E5">
        <v>10</v>
      </c>
      <c r="G5">
        <v>7</v>
      </c>
      <c r="J5">
        <v>9</v>
      </c>
      <c r="K5">
        <v>4</v>
      </c>
      <c r="L5">
        <v>9</v>
      </c>
      <c r="N5">
        <v>3</v>
      </c>
      <c r="O5">
        <v>4</v>
      </c>
      <c r="Q5">
        <v>9</v>
      </c>
      <c r="R5">
        <v>7</v>
      </c>
      <c r="S5">
        <v>6</v>
      </c>
      <c r="T5">
        <v>11</v>
      </c>
      <c r="W5">
        <v>86</v>
      </c>
    </row>
    <row r="6" spans="1:23" x14ac:dyDescent="0.2">
      <c r="A6" s="5" t="s">
        <v>101</v>
      </c>
      <c r="Q6">
        <v>4</v>
      </c>
      <c r="T6">
        <v>5</v>
      </c>
      <c r="W6">
        <v>9</v>
      </c>
    </row>
    <row r="7" spans="1:23" x14ac:dyDescent="0.2">
      <c r="A7" s="7" t="s">
        <v>105</v>
      </c>
      <c r="Q7">
        <v>1</v>
      </c>
      <c r="T7">
        <v>1</v>
      </c>
      <c r="W7">
        <v>2</v>
      </c>
    </row>
    <row r="8" spans="1:23" x14ac:dyDescent="0.2">
      <c r="A8" s="7" t="s">
        <v>103</v>
      </c>
      <c r="Q8">
        <v>1</v>
      </c>
      <c r="T8">
        <v>1</v>
      </c>
      <c r="W8">
        <v>2</v>
      </c>
    </row>
    <row r="9" spans="1:23" x14ac:dyDescent="0.2">
      <c r="A9" s="7" t="s">
        <v>104</v>
      </c>
      <c r="T9">
        <v>1</v>
      </c>
      <c r="W9">
        <v>1</v>
      </c>
    </row>
    <row r="10" spans="1:23" x14ac:dyDescent="0.2">
      <c r="A10" s="7" t="s">
        <v>102</v>
      </c>
      <c r="Q10">
        <v>1</v>
      </c>
      <c r="T10">
        <v>1</v>
      </c>
      <c r="W10">
        <v>2</v>
      </c>
    </row>
    <row r="11" spans="1:23" x14ac:dyDescent="0.2">
      <c r="A11" s="7" t="s">
        <v>106</v>
      </c>
      <c r="Q11">
        <v>1</v>
      </c>
      <c r="T11">
        <v>1</v>
      </c>
      <c r="W11">
        <v>2</v>
      </c>
    </row>
    <row r="12" spans="1:23" x14ac:dyDescent="0.2">
      <c r="A12" s="5" t="s">
        <v>96</v>
      </c>
      <c r="B12">
        <v>3</v>
      </c>
      <c r="J12">
        <v>1</v>
      </c>
      <c r="L12">
        <v>4</v>
      </c>
      <c r="W12">
        <v>8</v>
      </c>
    </row>
    <row r="13" spans="1:23" x14ac:dyDescent="0.2">
      <c r="A13" s="7" t="s">
        <v>99</v>
      </c>
      <c r="B13">
        <v>1</v>
      </c>
      <c r="L13">
        <v>1</v>
      </c>
      <c r="W13">
        <v>2</v>
      </c>
    </row>
    <row r="14" spans="1:23" x14ac:dyDescent="0.2">
      <c r="A14" s="7" t="s">
        <v>98</v>
      </c>
      <c r="L14">
        <v>1</v>
      </c>
      <c r="W14">
        <v>1</v>
      </c>
    </row>
    <row r="15" spans="1:23" x14ac:dyDescent="0.2">
      <c r="A15" s="7" t="s">
        <v>97</v>
      </c>
      <c r="B15">
        <v>1</v>
      </c>
      <c r="L15">
        <v>1</v>
      </c>
      <c r="W15">
        <v>2</v>
      </c>
    </row>
    <row r="16" spans="1:23" x14ac:dyDescent="0.2">
      <c r="A16" s="7" t="s">
        <v>100</v>
      </c>
      <c r="B16">
        <v>1</v>
      </c>
      <c r="J16">
        <v>1</v>
      </c>
      <c r="L16">
        <v>1</v>
      </c>
      <c r="W16">
        <v>3</v>
      </c>
    </row>
    <row r="17" spans="1:23" x14ac:dyDescent="0.2">
      <c r="A17" s="5" t="s">
        <v>85</v>
      </c>
      <c r="T17">
        <v>5</v>
      </c>
      <c r="W17">
        <v>5</v>
      </c>
    </row>
    <row r="18" spans="1:23" x14ac:dyDescent="0.2">
      <c r="A18" s="7" t="s">
        <v>87</v>
      </c>
      <c r="T18">
        <v>1</v>
      </c>
      <c r="W18">
        <v>1</v>
      </c>
    </row>
    <row r="19" spans="1:23" x14ac:dyDescent="0.2">
      <c r="A19" s="7" t="s">
        <v>90</v>
      </c>
      <c r="T19">
        <v>1</v>
      </c>
      <c r="W19">
        <v>1</v>
      </c>
    </row>
    <row r="20" spans="1:23" x14ac:dyDescent="0.2">
      <c r="A20" s="7" t="s">
        <v>86</v>
      </c>
      <c r="T20">
        <v>1</v>
      </c>
      <c r="W20">
        <v>1</v>
      </c>
    </row>
    <row r="21" spans="1:23" x14ac:dyDescent="0.2">
      <c r="A21" s="7" t="s">
        <v>89</v>
      </c>
      <c r="T21">
        <v>1</v>
      </c>
      <c r="W21">
        <v>1</v>
      </c>
    </row>
    <row r="22" spans="1:23" x14ac:dyDescent="0.2">
      <c r="A22" s="7" t="s">
        <v>88</v>
      </c>
      <c r="T22">
        <v>1</v>
      </c>
      <c r="W22">
        <v>1</v>
      </c>
    </row>
    <row r="23" spans="1:23" x14ac:dyDescent="0.2">
      <c r="A23" s="5" t="s">
        <v>52</v>
      </c>
      <c r="B23">
        <v>2</v>
      </c>
      <c r="E23">
        <v>5</v>
      </c>
      <c r="G23">
        <v>1</v>
      </c>
      <c r="S23">
        <v>2</v>
      </c>
      <c r="W23">
        <v>10</v>
      </c>
    </row>
    <row r="24" spans="1:23" x14ac:dyDescent="0.2">
      <c r="A24" s="7" t="s">
        <v>58</v>
      </c>
      <c r="E24">
        <v>1</v>
      </c>
      <c r="W24">
        <v>1</v>
      </c>
    </row>
    <row r="25" spans="1:23" x14ac:dyDescent="0.2">
      <c r="A25" s="7" t="s">
        <v>57</v>
      </c>
      <c r="E25">
        <v>1</v>
      </c>
      <c r="G25">
        <v>1</v>
      </c>
      <c r="W25">
        <v>2</v>
      </c>
    </row>
    <row r="26" spans="1:23" x14ac:dyDescent="0.2">
      <c r="A26" s="7" t="s">
        <v>56</v>
      </c>
      <c r="B26">
        <v>1</v>
      </c>
      <c r="E26">
        <v>1</v>
      </c>
      <c r="S26">
        <v>1</v>
      </c>
      <c r="W26">
        <v>3</v>
      </c>
    </row>
    <row r="27" spans="1:23" x14ac:dyDescent="0.2">
      <c r="A27" s="7" t="s">
        <v>55</v>
      </c>
      <c r="B27">
        <v>1</v>
      </c>
      <c r="E27">
        <v>1</v>
      </c>
      <c r="S27">
        <v>1</v>
      </c>
      <c r="W27">
        <v>3</v>
      </c>
    </row>
    <row r="28" spans="1:23" x14ac:dyDescent="0.2">
      <c r="A28" s="7" t="s">
        <v>53</v>
      </c>
      <c r="E28">
        <v>1</v>
      </c>
      <c r="W28">
        <v>1</v>
      </c>
    </row>
    <row r="29" spans="1:23" x14ac:dyDescent="0.2">
      <c r="A29" s="5" t="s">
        <v>44</v>
      </c>
      <c r="B29">
        <v>2</v>
      </c>
      <c r="J29">
        <v>3</v>
      </c>
      <c r="L29">
        <v>3</v>
      </c>
      <c r="S29">
        <v>1</v>
      </c>
      <c r="W29">
        <v>9</v>
      </c>
    </row>
    <row r="30" spans="1:23" x14ac:dyDescent="0.2">
      <c r="A30" s="7" t="s">
        <v>48</v>
      </c>
      <c r="B30">
        <v>1</v>
      </c>
      <c r="J30">
        <v>1</v>
      </c>
      <c r="L30">
        <v>1</v>
      </c>
      <c r="W30">
        <v>3</v>
      </c>
    </row>
    <row r="31" spans="1:23" x14ac:dyDescent="0.2">
      <c r="A31" s="7" t="s">
        <v>45</v>
      </c>
      <c r="B31">
        <v>1</v>
      </c>
      <c r="J31">
        <v>1</v>
      </c>
      <c r="L31">
        <v>1</v>
      </c>
      <c r="W31">
        <v>3</v>
      </c>
    </row>
    <row r="32" spans="1:23" x14ac:dyDescent="0.2">
      <c r="A32" s="7" t="s">
        <v>49</v>
      </c>
      <c r="J32">
        <v>1</v>
      </c>
      <c r="W32">
        <v>1</v>
      </c>
    </row>
    <row r="33" spans="1:23" x14ac:dyDescent="0.2">
      <c r="A33" s="7" t="s">
        <v>50</v>
      </c>
      <c r="L33">
        <v>1</v>
      </c>
      <c r="S33">
        <v>1</v>
      </c>
      <c r="W33">
        <v>2</v>
      </c>
    </row>
    <row r="34" spans="1:23" x14ac:dyDescent="0.2">
      <c r="A34" s="5" t="s">
        <v>36</v>
      </c>
      <c r="G34">
        <v>6</v>
      </c>
      <c r="K34">
        <v>4</v>
      </c>
      <c r="W34">
        <v>10</v>
      </c>
    </row>
    <row r="35" spans="1:23" x14ac:dyDescent="0.2">
      <c r="A35" s="7" t="s">
        <v>43</v>
      </c>
      <c r="G35">
        <v>1</v>
      </c>
      <c r="K35">
        <v>1</v>
      </c>
      <c r="W35">
        <v>2</v>
      </c>
    </row>
    <row r="36" spans="1:23" x14ac:dyDescent="0.2">
      <c r="A36" s="7" t="s">
        <v>41</v>
      </c>
      <c r="G36">
        <v>1</v>
      </c>
      <c r="K36">
        <v>1</v>
      </c>
      <c r="W36">
        <v>2</v>
      </c>
    </row>
    <row r="37" spans="1:23" x14ac:dyDescent="0.2">
      <c r="A37" s="7" t="s">
        <v>37</v>
      </c>
      <c r="G37">
        <v>1</v>
      </c>
      <c r="K37">
        <v>1</v>
      </c>
      <c r="W37">
        <v>2</v>
      </c>
    </row>
    <row r="38" spans="1:23" x14ac:dyDescent="0.2">
      <c r="A38" s="7" t="s">
        <v>40</v>
      </c>
      <c r="G38">
        <v>1</v>
      </c>
      <c r="W38">
        <v>1</v>
      </c>
    </row>
    <row r="39" spans="1:23" x14ac:dyDescent="0.2">
      <c r="A39" s="7" t="s">
        <v>39</v>
      </c>
      <c r="G39">
        <v>1</v>
      </c>
      <c r="W39">
        <v>1</v>
      </c>
    </row>
    <row r="40" spans="1:23" x14ac:dyDescent="0.2">
      <c r="A40" s="7" t="s">
        <v>42</v>
      </c>
      <c r="G40">
        <v>1</v>
      </c>
      <c r="K40">
        <v>1</v>
      </c>
      <c r="W40">
        <v>2</v>
      </c>
    </row>
    <row r="41" spans="1:23" x14ac:dyDescent="0.2">
      <c r="A41" s="5" t="s">
        <v>92</v>
      </c>
      <c r="O41">
        <v>2</v>
      </c>
      <c r="T41">
        <v>1</v>
      </c>
      <c r="W41">
        <v>3</v>
      </c>
    </row>
    <row r="42" spans="1:23" x14ac:dyDescent="0.2">
      <c r="A42" s="7" t="s">
        <v>95</v>
      </c>
      <c r="T42">
        <v>1</v>
      </c>
      <c r="W42">
        <v>1</v>
      </c>
    </row>
    <row r="43" spans="1:23" x14ac:dyDescent="0.2">
      <c r="A43" s="7" t="s">
        <v>93</v>
      </c>
      <c r="O43">
        <v>1</v>
      </c>
      <c r="W43">
        <v>1</v>
      </c>
    </row>
    <row r="44" spans="1:23" x14ac:dyDescent="0.2">
      <c r="A44" s="7" t="s">
        <v>94</v>
      </c>
      <c r="O44">
        <v>1</v>
      </c>
      <c r="W44">
        <v>1</v>
      </c>
    </row>
    <row r="45" spans="1:23" x14ac:dyDescent="0.2">
      <c r="A45" s="5" t="s">
        <v>59</v>
      </c>
      <c r="O45">
        <v>2</v>
      </c>
      <c r="Q45">
        <v>5</v>
      </c>
      <c r="W45">
        <v>7</v>
      </c>
    </row>
    <row r="46" spans="1:23" x14ac:dyDescent="0.2">
      <c r="A46" s="7" t="s">
        <v>64</v>
      </c>
      <c r="O46">
        <v>1</v>
      </c>
      <c r="Q46">
        <v>1</v>
      </c>
      <c r="W46">
        <v>2</v>
      </c>
    </row>
    <row r="47" spans="1:23" x14ac:dyDescent="0.2">
      <c r="A47" s="7" t="s">
        <v>61</v>
      </c>
      <c r="O47">
        <v>1</v>
      </c>
      <c r="Q47">
        <v>1</v>
      </c>
      <c r="W47">
        <v>2</v>
      </c>
    </row>
    <row r="48" spans="1:23" x14ac:dyDescent="0.2">
      <c r="A48" s="7" t="s">
        <v>62</v>
      </c>
      <c r="Q48">
        <v>1</v>
      </c>
      <c r="W48">
        <v>1</v>
      </c>
    </row>
    <row r="49" spans="1:23" x14ac:dyDescent="0.2">
      <c r="A49" s="7" t="s">
        <v>63</v>
      </c>
      <c r="Q49">
        <v>1</v>
      </c>
      <c r="W49">
        <v>1</v>
      </c>
    </row>
    <row r="50" spans="1:23" x14ac:dyDescent="0.2">
      <c r="A50" s="7" t="s">
        <v>60</v>
      </c>
      <c r="Q50">
        <v>1</v>
      </c>
      <c r="W50">
        <v>1</v>
      </c>
    </row>
    <row r="51" spans="1:23" x14ac:dyDescent="0.2">
      <c r="A51" s="5" t="s">
        <v>74</v>
      </c>
      <c r="N51">
        <v>2</v>
      </c>
      <c r="R51">
        <v>3</v>
      </c>
      <c r="W51">
        <v>5</v>
      </c>
    </row>
    <row r="52" spans="1:23" x14ac:dyDescent="0.2">
      <c r="A52" s="7" t="s">
        <v>77</v>
      </c>
      <c r="R52">
        <v>1</v>
      </c>
      <c r="W52">
        <v>1</v>
      </c>
    </row>
    <row r="53" spans="1:23" x14ac:dyDescent="0.2">
      <c r="A53" s="7" t="s">
        <v>75</v>
      </c>
      <c r="N53">
        <v>1</v>
      </c>
      <c r="W53">
        <v>1</v>
      </c>
    </row>
    <row r="54" spans="1:23" x14ac:dyDescent="0.2">
      <c r="A54" s="7" t="s">
        <v>76</v>
      </c>
      <c r="N54">
        <v>1</v>
      </c>
      <c r="R54">
        <v>1</v>
      </c>
      <c r="W54">
        <v>2</v>
      </c>
    </row>
    <row r="55" spans="1:23" x14ac:dyDescent="0.2">
      <c r="A55" s="7" t="s">
        <v>78</v>
      </c>
      <c r="R55">
        <v>1</v>
      </c>
      <c r="W55">
        <v>1</v>
      </c>
    </row>
    <row r="56" spans="1:23" x14ac:dyDescent="0.2">
      <c r="A56" s="5" t="s">
        <v>66</v>
      </c>
      <c r="N56">
        <v>1</v>
      </c>
      <c r="R56">
        <v>4</v>
      </c>
      <c r="S56">
        <v>3</v>
      </c>
      <c r="W56">
        <v>8</v>
      </c>
    </row>
    <row r="57" spans="1:23" x14ac:dyDescent="0.2">
      <c r="A57" s="7" t="s">
        <v>70</v>
      </c>
      <c r="R57">
        <v>1</v>
      </c>
      <c r="S57">
        <v>1</v>
      </c>
      <c r="W57">
        <v>2</v>
      </c>
    </row>
    <row r="58" spans="1:23" x14ac:dyDescent="0.2">
      <c r="A58" s="7" t="s">
        <v>69</v>
      </c>
      <c r="R58">
        <v>1</v>
      </c>
      <c r="W58">
        <v>1</v>
      </c>
    </row>
    <row r="59" spans="1:23" x14ac:dyDescent="0.2">
      <c r="A59" s="7" t="s">
        <v>71</v>
      </c>
      <c r="N59">
        <v>1</v>
      </c>
      <c r="S59">
        <v>1</v>
      </c>
      <c r="W59">
        <v>2</v>
      </c>
    </row>
    <row r="60" spans="1:23" x14ac:dyDescent="0.2">
      <c r="A60" s="7" t="s">
        <v>68</v>
      </c>
      <c r="R60">
        <v>1</v>
      </c>
      <c r="S60">
        <v>1</v>
      </c>
      <c r="W60">
        <v>2</v>
      </c>
    </row>
    <row r="61" spans="1:23" x14ac:dyDescent="0.2">
      <c r="A61" s="7" t="s">
        <v>67</v>
      </c>
      <c r="R61">
        <v>1</v>
      </c>
      <c r="W61">
        <v>1</v>
      </c>
    </row>
    <row r="62" spans="1:23" x14ac:dyDescent="0.2">
      <c r="A62" s="5" t="s">
        <v>79</v>
      </c>
      <c r="E62">
        <v>5</v>
      </c>
      <c r="J62">
        <v>5</v>
      </c>
      <c r="L62">
        <v>2</v>
      </c>
      <c r="W62">
        <v>12</v>
      </c>
    </row>
    <row r="63" spans="1:23" x14ac:dyDescent="0.2">
      <c r="A63" s="7" t="s">
        <v>84</v>
      </c>
      <c r="E63">
        <v>1</v>
      </c>
      <c r="J63">
        <v>1</v>
      </c>
      <c r="L63">
        <v>1</v>
      </c>
      <c r="W63">
        <v>3</v>
      </c>
    </row>
    <row r="64" spans="1:23" x14ac:dyDescent="0.2">
      <c r="A64" s="7" t="s">
        <v>82</v>
      </c>
      <c r="E64">
        <v>1</v>
      </c>
      <c r="J64">
        <v>1</v>
      </c>
      <c r="L64">
        <v>1</v>
      </c>
      <c r="W64">
        <v>3</v>
      </c>
    </row>
    <row r="65" spans="1:23" x14ac:dyDescent="0.2">
      <c r="A65" s="7" t="s">
        <v>83</v>
      </c>
      <c r="E65">
        <v>1</v>
      </c>
      <c r="J65">
        <v>1</v>
      </c>
      <c r="W65">
        <v>2</v>
      </c>
    </row>
    <row r="66" spans="1:23" x14ac:dyDescent="0.2">
      <c r="A66" s="7" t="s">
        <v>80</v>
      </c>
      <c r="E66">
        <v>1</v>
      </c>
      <c r="J66">
        <v>1</v>
      </c>
      <c r="W66">
        <v>2</v>
      </c>
    </row>
    <row r="67" spans="1:23" x14ac:dyDescent="0.2">
      <c r="A67" s="7" t="s">
        <v>81</v>
      </c>
      <c r="E67">
        <v>1</v>
      </c>
      <c r="J67">
        <v>1</v>
      </c>
      <c r="W67">
        <v>2</v>
      </c>
    </row>
    <row r="68" spans="1:23" x14ac:dyDescent="0.2">
      <c r="A68" s="4" t="s">
        <v>107</v>
      </c>
      <c r="C68">
        <v>4</v>
      </c>
      <c r="D68">
        <v>3</v>
      </c>
      <c r="F68">
        <v>3</v>
      </c>
      <c r="G68">
        <v>2</v>
      </c>
      <c r="H68">
        <v>1</v>
      </c>
      <c r="I68">
        <v>3</v>
      </c>
      <c r="K68">
        <v>3</v>
      </c>
      <c r="M68">
        <v>2</v>
      </c>
      <c r="O68">
        <v>7</v>
      </c>
      <c r="P68">
        <v>1</v>
      </c>
      <c r="Q68">
        <v>8</v>
      </c>
      <c r="U68">
        <v>7</v>
      </c>
      <c r="V68">
        <v>5</v>
      </c>
      <c r="W68">
        <v>49</v>
      </c>
    </row>
    <row r="69" spans="1:23" x14ac:dyDescent="0.2">
      <c r="A69" s="5" t="s">
        <v>118</v>
      </c>
      <c r="K69">
        <v>1</v>
      </c>
      <c r="O69">
        <v>4</v>
      </c>
      <c r="Q69">
        <v>5</v>
      </c>
      <c r="W69">
        <v>10</v>
      </c>
    </row>
    <row r="70" spans="1:23" x14ac:dyDescent="0.2">
      <c r="A70" s="7" t="s">
        <v>119</v>
      </c>
      <c r="O70">
        <v>1</v>
      </c>
      <c r="Q70">
        <v>1</v>
      </c>
      <c r="W70">
        <v>2</v>
      </c>
    </row>
    <row r="71" spans="1:23" x14ac:dyDescent="0.2">
      <c r="A71" s="7" t="s">
        <v>121</v>
      </c>
      <c r="O71">
        <v>1</v>
      </c>
      <c r="Q71">
        <v>1</v>
      </c>
      <c r="W71">
        <v>2</v>
      </c>
    </row>
    <row r="72" spans="1:23" x14ac:dyDescent="0.2">
      <c r="A72" s="7" t="s">
        <v>122</v>
      </c>
      <c r="O72">
        <v>1</v>
      </c>
      <c r="Q72">
        <v>1</v>
      </c>
      <c r="W72">
        <v>2</v>
      </c>
    </row>
    <row r="73" spans="1:23" x14ac:dyDescent="0.2">
      <c r="A73" s="7" t="s">
        <v>9</v>
      </c>
      <c r="O73">
        <v>1</v>
      </c>
      <c r="Q73">
        <v>1</v>
      </c>
      <c r="W73">
        <v>2</v>
      </c>
    </row>
    <row r="74" spans="1:23" x14ac:dyDescent="0.2">
      <c r="A74" s="7" t="s">
        <v>120</v>
      </c>
      <c r="K74">
        <v>1</v>
      </c>
      <c r="Q74">
        <v>1</v>
      </c>
      <c r="W74">
        <v>2</v>
      </c>
    </row>
    <row r="75" spans="1:23" x14ac:dyDescent="0.2">
      <c r="A75" s="5" t="s">
        <v>135</v>
      </c>
      <c r="C75">
        <v>3</v>
      </c>
      <c r="W75">
        <v>3</v>
      </c>
    </row>
    <row r="76" spans="1:23" x14ac:dyDescent="0.2">
      <c r="A76" s="7" t="s">
        <v>137</v>
      </c>
      <c r="C76">
        <v>1</v>
      </c>
      <c r="W76">
        <v>1</v>
      </c>
    </row>
    <row r="77" spans="1:23" x14ac:dyDescent="0.2">
      <c r="A77" s="7" t="s">
        <v>136</v>
      </c>
      <c r="C77">
        <v>1</v>
      </c>
      <c r="W77">
        <v>1</v>
      </c>
    </row>
    <row r="78" spans="1:23" x14ac:dyDescent="0.2">
      <c r="A78" s="7" t="s">
        <v>138</v>
      </c>
      <c r="C78">
        <v>1</v>
      </c>
      <c r="W78">
        <v>1</v>
      </c>
    </row>
    <row r="79" spans="1:23" x14ac:dyDescent="0.2">
      <c r="A79" s="5" t="s">
        <v>108</v>
      </c>
      <c r="C79">
        <v>1</v>
      </c>
      <c r="U79">
        <v>7</v>
      </c>
      <c r="W79">
        <v>8</v>
      </c>
    </row>
    <row r="80" spans="1:23" x14ac:dyDescent="0.2">
      <c r="A80" s="7" t="s">
        <v>112</v>
      </c>
      <c r="C80">
        <v>1</v>
      </c>
      <c r="U80">
        <v>1</v>
      </c>
      <c r="W80">
        <v>2</v>
      </c>
    </row>
    <row r="81" spans="1:23" x14ac:dyDescent="0.2">
      <c r="A81" s="7" t="s">
        <v>114</v>
      </c>
      <c r="U81">
        <v>1</v>
      </c>
      <c r="W81">
        <v>1</v>
      </c>
    </row>
    <row r="82" spans="1:23" x14ac:dyDescent="0.2">
      <c r="A82" s="7" t="s">
        <v>109</v>
      </c>
      <c r="U82">
        <v>1</v>
      </c>
      <c r="W82">
        <v>1</v>
      </c>
    </row>
    <row r="83" spans="1:23" x14ac:dyDescent="0.2">
      <c r="A83" s="7" t="s">
        <v>113</v>
      </c>
      <c r="U83">
        <v>1</v>
      </c>
      <c r="W83">
        <v>1</v>
      </c>
    </row>
    <row r="84" spans="1:23" x14ac:dyDescent="0.2">
      <c r="A84" s="7" t="s">
        <v>115</v>
      </c>
      <c r="U84">
        <v>1</v>
      </c>
      <c r="W84">
        <v>1</v>
      </c>
    </row>
    <row r="85" spans="1:23" x14ac:dyDescent="0.2">
      <c r="A85" s="7" t="s">
        <v>110</v>
      </c>
      <c r="U85">
        <v>1</v>
      </c>
      <c r="W85">
        <v>1</v>
      </c>
    </row>
    <row r="86" spans="1:23" x14ac:dyDescent="0.2">
      <c r="A86" s="7" t="s">
        <v>111</v>
      </c>
      <c r="U86">
        <v>1</v>
      </c>
      <c r="W86">
        <v>1</v>
      </c>
    </row>
    <row r="87" spans="1:23" x14ac:dyDescent="0.2">
      <c r="A87" s="5" t="s">
        <v>123</v>
      </c>
      <c r="G87">
        <v>1</v>
      </c>
      <c r="K87">
        <v>1</v>
      </c>
      <c r="V87">
        <v>5</v>
      </c>
      <c r="W87">
        <v>7</v>
      </c>
    </row>
    <row r="88" spans="1:23" x14ac:dyDescent="0.2">
      <c r="A88" s="7" t="s">
        <v>124</v>
      </c>
      <c r="V88">
        <v>1</v>
      </c>
      <c r="W88">
        <v>1</v>
      </c>
    </row>
    <row r="89" spans="1:23" x14ac:dyDescent="0.2">
      <c r="A89" s="7" t="s">
        <v>127</v>
      </c>
      <c r="G89">
        <v>1</v>
      </c>
      <c r="K89">
        <v>1</v>
      </c>
      <c r="V89">
        <v>1</v>
      </c>
      <c r="W89">
        <v>3</v>
      </c>
    </row>
    <row r="90" spans="1:23" x14ac:dyDescent="0.2">
      <c r="A90" s="7" t="s">
        <v>126</v>
      </c>
      <c r="V90">
        <v>1</v>
      </c>
      <c r="W90">
        <v>1</v>
      </c>
    </row>
    <row r="91" spans="1:23" x14ac:dyDescent="0.2">
      <c r="A91" s="7" t="s">
        <v>125</v>
      </c>
      <c r="V91">
        <v>1</v>
      </c>
      <c r="W91">
        <v>1</v>
      </c>
    </row>
    <row r="92" spans="1:23" x14ac:dyDescent="0.2">
      <c r="A92" s="7" t="s">
        <v>185</v>
      </c>
      <c r="V92">
        <v>1</v>
      </c>
      <c r="W92">
        <v>1</v>
      </c>
    </row>
    <row r="93" spans="1:23" x14ac:dyDescent="0.2">
      <c r="A93" s="5" t="s">
        <v>129</v>
      </c>
      <c r="D93">
        <v>2</v>
      </c>
      <c r="F93">
        <v>3</v>
      </c>
      <c r="G93">
        <v>1</v>
      </c>
      <c r="H93">
        <v>1</v>
      </c>
      <c r="I93">
        <v>3</v>
      </c>
      <c r="K93">
        <v>1</v>
      </c>
      <c r="P93">
        <v>1</v>
      </c>
      <c r="W93">
        <v>12</v>
      </c>
    </row>
    <row r="94" spans="1:23" x14ac:dyDescent="0.2">
      <c r="A94" s="7" t="s">
        <v>131</v>
      </c>
      <c r="D94">
        <v>1</v>
      </c>
      <c r="F94">
        <v>1</v>
      </c>
      <c r="I94">
        <v>1</v>
      </c>
      <c r="W94">
        <v>3</v>
      </c>
    </row>
    <row r="95" spans="1:23" x14ac:dyDescent="0.2">
      <c r="A95" s="7" t="s">
        <v>182</v>
      </c>
      <c r="G95">
        <v>1</v>
      </c>
      <c r="K95">
        <v>1</v>
      </c>
      <c r="W95">
        <v>2</v>
      </c>
    </row>
    <row r="96" spans="1:23" x14ac:dyDescent="0.2">
      <c r="A96" s="7" t="s">
        <v>130</v>
      </c>
      <c r="F96">
        <v>1</v>
      </c>
      <c r="I96">
        <v>1</v>
      </c>
      <c r="P96">
        <v>1</v>
      </c>
      <c r="W96">
        <v>3</v>
      </c>
    </row>
    <row r="97" spans="1:23" x14ac:dyDescent="0.2">
      <c r="A97" s="7" t="s">
        <v>132</v>
      </c>
      <c r="D97">
        <v>1</v>
      </c>
      <c r="F97">
        <v>1</v>
      </c>
      <c r="H97">
        <v>1</v>
      </c>
      <c r="I97">
        <v>1</v>
      </c>
      <c r="W97">
        <v>4</v>
      </c>
    </row>
    <row r="98" spans="1:23" x14ac:dyDescent="0.2">
      <c r="A98" s="5" t="s">
        <v>139</v>
      </c>
      <c r="D98">
        <v>1</v>
      </c>
      <c r="M98">
        <v>2</v>
      </c>
      <c r="O98">
        <v>3</v>
      </c>
      <c r="Q98">
        <v>3</v>
      </c>
      <c r="W98">
        <v>9</v>
      </c>
    </row>
    <row r="99" spans="1:23" x14ac:dyDescent="0.2">
      <c r="A99" s="7" t="s">
        <v>140</v>
      </c>
      <c r="O99">
        <v>1</v>
      </c>
      <c r="Q99">
        <v>1</v>
      </c>
      <c r="W99">
        <v>2</v>
      </c>
    </row>
    <row r="100" spans="1:23" x14ac:dyDescent="0.2">
      <c r="A100" s="7" t="s">
        <v>142</v>
      </c>
      <c r="M100">
        <v>1</v>
      </c>
      <c r="O100">
        <v>1</v>
      </c>
      <c r="Q100">
        <v>1</v>
      </c>
      <c r="W100">
        <v>3</v>
      </c>
    </row>
    <row r="101" spans="1:23" x14ac:dyDescent="0.2">
      <c r="A101" s="7" t="s">
        <v>141</v>
      </c>
      <c r="D101">
        <v>1</v>
      </c>
      <c r="M101">
        <v>1</v>
      </c>
      <c r="O101">
        <v>1</v>
      </c>
      <c r="Q101">
        <v>1</v>
      </c>
      <c r="W101">
        <v>4</v>
      </c>
    </row>
    <row r="102" spans="1:23" x14ac:dyDescent="0.2">
      <c r="A102" s="4" t="s">
        <v>10</v>
      </c>
      <c r="D102">
        <v>8</v>
      </c>
      <c r="E102">
        <v>2</v>
      </c>
      <c r="G102">
        <v>1</v>
      </c>
      <c r="H102">
        <v>2</v>
      </c>
      <c r="I102">
        <v>13</v>
      </c>
      <c r="K102">
        <v>1</v>
      </c>
      <c r="O102">
        <v>8</v>
      </c>
      <c r="W102">
        <v>35</v>
      </c>
    </row>
    <row r="103" spans="1:23" x14ac:dyDescent="0.2">
      <c r="A103" s="5" t="s">
        <v>3</v>
      </c>
      <c r="D103">
        <v>4</v>
      </c>
      <c r="I103">
        <v>3</v>
      </c>
      <c r="O103">
        <v>4</v>
      </c>
      <c r="W103">
        <v>11</v>
      </c>
    </row>
    <row r="104" spans="1:23" x14ac:dyDescent="0.2">
      <c r="A104" s="7" t="s">
        <v>4</v>
      </c>
      <c r="D104">
        <v>1</v>
      </c>
      <c r="W104">
        <v>1</v>
      </c>
    </row>
    <row r="105" spans="1:23" x14ac:dyDescent="0.2">
      <c r="A105" s="7" t="s">
        <v>5</v>
      </c>
      <c r="D105">
        <v>1</v>
      </c>
      <c r="O105">
        <v>2</v>
      </c>
      <c r="W105">
        <v>3</v>
      </c>
    </row>
    <row r="106" spans="1:23" x14ac:dyDescent="0.2">
      <c r="A106" s="7" t="s">
        <v>6</v>
      </c>
      <c r="D106">
        <v>1</v>
      </c>
      <c r="W106">
        <v>1</v>
      </c>
    </row>
    <row r="107" spans="1:23" x14ac:dyDescent="0.2">
      <c r="A107" s="7" t="s">
        <v>7</v>
      </c>
      <c r="D107">
        <v>1</v>
      </c>
      <c r="I107">
        <v>1</v>
      </c>
      <c r="O107">
        <v>1</v>
      </c>
      <c r="W107">
        <v>3</v>
      </c>
    </row>
    <row r="108" spans="1:23" x14ac:dyDescent="0.2">
      <c r="A108" s="7" t="s">
        <v>8</v>
      </c>
      <c r="I108">
        <v>1</v>
      </c>
      <c r="W108">
        <v>1</v>
      </c>
    </row>
    <row r="109" spans="1:23" x14ac:dyDescent="0.2">
      <c r="A109" s="7" t="s">
        <v>189</v>
      </c>
      <c r="I109">
        <v>1</v>
      </c>
      <c r="O109">
        <v>1</v>
      </c>
      <c r="W109">
        <v>2</v>
      </c>
    </row>
    <row r="110" spans="1:23" x14ac:dyDescent="0.2">
      <c r="A110" s="5" t="s">
        <v>19</v>
      </c>
      <c r="E110">
        <v>1</v>
      </c>
      <c r="G110">
        <v>1</v>
      </c>
      <c r="H110">
        <v>1</v>
      </c>
      <c r="I110">
        <v>4</v>
      </c>
      <c r="K110">
        <v>1</v>
      </c>
      <c r="W110">
        <v>8</v>
      </c>
    </row>
    <row r="111" spans="1:23" x14ac:dyDescent="0.2">
      <c r="A111" s="7" t="s">
        <v>24</v>
      </c>
      <c r="I111">
        <v>1</v>
      </c>
      <c r="W111">
        <v>1</v>
      </c>
    </row>
    <row r="112" spans="1:23" x14ac:dyDescent="0.2">
      <c r="A112" s="7" t="s">
        <v>25</v>
      </c>
      <c r="I112">
        <v>1</v>
      </c>
      <c r="W112">
        <v>1</v>
      </c>
    </row>
    <row r="113" spans="1:23" x14ac:dyDescent="0.2">
      <c r="A113" s="7" t="s">
        <v>23</v>
      </c>
      <c r="I113">
        <v>1</v>
      </c>
      <c r="W113">
        <v>1</v>
      </c>
    </row>
    <row r="114" spans="1:23" x14ac:dyDescent="0.2">
      <c r="A114" s="7" t="s">
        <v>20</v>
      </c>
      <c r="E114">
        <v>1</v>
      </c>
      <c r="I114">
        <v>1</v>
      </c>
      <c r="W114">
        <v>2</v>
      </c>
    </row>
    <row r="115" spans="1:23" x14ac:dyDescent="0.2">
      <c r="A115" s="7" t="s">
        <v>22</v>
      </c>
      <c r="G115">
        <v>1</v>
      </c>
      <c r="H115">
        <v>1</v>
      </c>
      <c r="K115">
        <v>1</v>
      </c>
      <c r="W115">
        <v>3</v>
      </c>
    </row>
    <row r="116" spans="1:23" x14ac:dyDescent="0.2">
      <c r="A116" s="5" t="s">
        <v>28</v>
      </c>
      <c r="D116">
        <v>4</v>
      </c>
      <c r="H116">
        <v>1</v>
      </c>
      <c r="I116">
        <v>1</v>
      </c>
      <c r="O116">
        <v>4</v>
      </c>
      <c r="W116">
        <v>10</v>
      </c>
    </row>
    <row r="117" spans="1:23" x14ac:dyDescent="0.2">
      <c r="A117" s="7" t="s">
        <v>31</v>
      </c>
      <c r="D117">
        <v>1</v>
      </c>
      <c r="H117">
        <v>1</v>
      </c>
      <c r="O117">
        <v>1</v>
      </c>
      <c r="W117">
        <v>3</v>
      </c>
    </row>
    <row r="118" spans="1:23" x14ac:dyDescent="0.2">
      <c r="A118" s="7" t="s">
        <v>32</v>
      </c>
      <c r="D118">
        <v>1</v>
      </c>
      <c r="I118">
        <v>1</v>
      </c>
      <c r="O118">
        <v>1</v>
      </c>
      <c r="W118">
        <v>3</v>
      </c>
    </row>
    <row r="119" spans="1:23" x14ac:dyDescent="0.2">
      <c r="A119" s="7" t="s">
        <v>30</v>
      </c>
      <c r="D119">
        <v>1</v>
      </c>
      <c r="O119">
        <v>1</v>
      </c>
      <c r="W119">
        <v>2</v>
      </c>
    </row>
    <row r="120" spans="1:23" x14ac:dyDescent="0.2">
      <c r="A120" s="7" t="s">
        <v>29</v>
      </c>
      <c r="D120">
        <v>1</v>
      </c>
      <c r="O120">
        <v>1</v>
      </c>
      <c r="W120">
        <v>2</v>
      </c>
    </row>
    <row r="121" spans="1:23" x14ac:dyDescent="0.2">
      <c r="A121" s="5" t="s">
        <v>13</v>
      </c>
      <c r="E121">
        <v>1</v>
      </c>
      <c r="I121">
        <v>5</v>
      </c>
      <c r="W121">
        <v>6</v>
      </c>
    </row>
    <row r="122" spans="1:23" x14ac:dyDescent="0.2">
      <c r="A122" s="7" t="s">
        <v>15</v>
      </c>
      <c r="I122">
        <v>1</v>
      </c>
      <c r="W122">
        <v>1</v>
      </c>
    </row>
    <row r="123" spans="1:23" x14ac:dyDescent="0.2">
      <c r="A123" s="7" t="s">
        <v>17</v>
      </c>
      <c r="I123">
        <v>1</v>
      </c>
      <c r="W123">
        <v>1</v>
      </c>
    </row>
    <row r="124" spans="1:23" x14ac:dyDescent="0.2">
      <c r="A124" s="7" t="s">
        <v>18</v>
      </c>
      <c r="I124">
        <v>1</v>
      </c>
      <c r="W124">
        <v>1</v>
      </c>
    </row>
    <row r="125" spans="1:23" x14ac:dyDescent="0.2">
      <c r="A125" s="7" t="s">
        <v>14</v>
      </c>
      <c r="E125">
        <v>1</v>
      </c>
      <c r="I125">
        <v>1</v>
      </c>
      <c r="W125">
        <v>2</v>
      </c>
    </row>
    <row r="126" spans="1:23" x14ac:dyDescent="0.2">
      <c r="A126" s="7" t="s">
        <v>16</v>
      </c>
      <c r="I126">
        <v>1</v>
      </c>
      <c r="W126">
        <v>1</v>
      </c>
    </row>
    <row r="127" spans="1:23" x14ac:dyDescent="0.2">
      <c r="A127" s="4" t="s">
        <v>186</v>
      </c>
      <c r="B127">
        <v>7</v>
      </c>
      <c r="C127">
        <v>4</v>
      </c>
      <c r="D127">
        <v>11</v>
      </c>
      <c r="E127">
        <v>12</v>
      </c>
      <c r="F127">
        <v>3</v>
      </c>
      <c r="G127">
        <v>10</v>
      </c>
      <c r="H127">
        <v>3</v>
      </c>
      <c r="I127">
        <v>16</v>
      </c>
      <c r="J127">
        <v>9</v>
      </c>
      <c r="K127">
        <v>8</v>
      </c>
      <c r="L127">
        <v>9</v>
      </c>
      <c r="M127">
        <v>2</v>
      </c>
      <c r="N127">
        <v>3</v>
      </c>
      <c r="O127">
        <v>19</v>
      </c>
      <c r="P127">
        <v>1</v>
      </c>
      <c r="Q127">
        <v>17</v>
      </c>
      <c r="R127">
        <v>7</v>
      </c>
      <c r="S127">
        <v>6</v>
      </c>
      <c r="T127">
        <v>11</v>
      </c>
      <c r="U127">
        <v>7</v>
      </c>
      <c r="V127">
        <v>5</v>
      </c>
      <c r="W127">
        <v>170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3F6B6597720CC4C9E04F1341609415C" ma:contentTypeVersion="3" ma:contentTypeDescription="Ein neues Dokument erstellen." ma:contentTypeScope="" ma:versionID="489d424565a56b44d72ef1577682eeef">
  <xsd:schema xmlns:xsd="http://www.w3.org/2001/XMLSchema" xmlns:xs="http://www.w3.org/2001/XMLSchema" xmlns:p="http://schemas.microsoft.com/office/2006/metadata/properties" xmlns:ns2="27dda51f-07d3-489c-9f7c-f6e9375a2ada" targetNamespace="http://schemas.microsoft.com/office/2006/metadata/properties" ma:root="true" ma:fieldsID="4c2de32f5c5e76d1f73e718833a3a789" ns2:_="">
    <xsd:import namespace="27dda51f-07d3-489c-9f7c-f6e9375a2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da51f-07d3-489c-9f7c-f6e9375a2a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B1129C-E249-4EB4-8069-62D6DCCCB4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F385BC-9380-4FB2-81B9-46D3236B2F06}">
  <ds:schemaRefs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27dda51f-07d3-489c-9f7c-f6e9375a2ada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602C87-721C-40CA-82AD-F7460051BE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dda51f-07d3-489c-9f7c-f6e9375a2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ToBe Application List</vt:lpstr>
      <vt:lpstr>Costs and Budget Calculations</vt:lpstr>
      <vt:lpstr>BSM-Final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Jürgen Jung</dc:creator>
  <cp:keywords/>
  <dc:description/>
  <cp:lastModifiedBy>Hendrik Gruber</cp:lastModifiedBy>
  <cp:revision/>
  <dcterms:created xsi:type="dcterms:W3CDTF">2015-06-05T18:19:34Z</dcterms:created>
  <dcterms:modified xsi:type="dcterms:W3CDTF">2025-11-21T17:55:08Z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0x010100D3F6B6597720CC4C9E04F1341609415C</vt:lpwstr>
  </property>
</Properties>
</file>